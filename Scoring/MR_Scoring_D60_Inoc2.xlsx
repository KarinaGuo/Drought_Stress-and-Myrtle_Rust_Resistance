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rl\OneDrive\Documents\Uni\Doctorate\Ch2 Stressor\Scoring\"/>
    </mc:Choice>
  </mc:AlternateContent>
  <xr:revisionPtr revIDLastSave="0" documentId="13_ncr:1_{5ACEB1F3-D153-45C4-BBE1-636BB589AC66}" xr6:coauthVersionLast="47" xr6:coauthVersionMax="47" xr10:uidLastSave="{00000000-0000-0000-0000-000000000000}"/>
  <bookViews>
    <workbookView xWindow="-120" yWindow="-120" windowWidth="29040" windowHeight="15720" xr2:uid="{6625441A-328E-4433-BF2A-8BF878BCE7C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J3" i="1"/>
  <c r="I3" i="1"/>
  <c r="H3" i="1"/>
  <c r="U8" i="1"/>
  <c r="A1" i="2" l="1" a="1"/>
  <c r="A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 Guo</author>
  </authors>
  <commentList>
    <comment ref="G2" authorId="0" shapeId="0" xr:uid="{FB85DD9F-F0B3-4899-A8C7-CBD4828FAB1C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(S,MS,MRMS,MR,R)</t>
        </r>
      </text>
    </comment>
    <comment ref="I2" authorId="0" shapeId="0" xr:uid="{A36ACA8F-5EEC-4DAA-A23C-F78D0103FEA2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converted at MRMS&gt; = 1, MRMS= &lt; = 0</t>
        </r>
      </text>
    </comment>
    <comment ref="J2" authorId="0" shapeId="0" xr:uid="{F10D73D5-5E0D-4BD7-8054-2DB9677A955A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converted at MRMS=&gt; = 1, MRMS&lt; = 0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<sst xmlns="http://schemas.openxmlformats.org/spreadsheetml/2006/main" count="1338" uniqueCount="69">
  <si>
    <t>Karans</t>
  </si>
  <si>
    <t>IID</t>
  </si>
  <si>
    <t>Flecking (white)</t>
  </si>
  <si>
    <t>Chlorosis (red)</t>
  </si>
  <si>
    <t>Necrosis</t>
  </si>
  <si>
    <t>Active sporulation (restr./not restr.)</t>
  </si>
  <si>
    <t>Coverage</t>
  </si>
  <si>
    <t>Imm. resp.</t>
  </si>
  <si>
    <t>COI scores</t>
  </si>
  <si>
    <t>Binary_MS</t>
  </si>
  <si>
    <t>Binary_MRMS</t>
  </si>
  <si>
    <t>Notes</t>
  </si>
  <si>
    <t>Orig Scoring scheme</t>
  </si>
  <si>
    <t>Imm resp</t>
  </si>
  <si>
    <t>COI - if no coverage score was given, use personal</t>
  </si>
  <si>
    <t>Difference in COI (Mine-Karans)</t>
  </si>
  <si>
    <t>Difference in coverage score</t>
  </si>
  <si>
    <t>HR</t>
  </si>
  <si>
    <t>Scored on 31/3/25. Inoculated on 17/3/25</t>
  </si>
  <si>
    <t>R</t>
  </si>
  <si>
    <t>Unrestricted</t>
  </si>
  <si>
    <t>HS</t>
  </si>
  <si>
    <t>MRMS</t>
  </si>
  <si>
    <t>MS</t>
  </si>
  <si>
    <t>NA</t>
  </si>
  <si>
    <t>S</t>
  </si>
  <si>
    <t>Small colonies speckled</t>
  </si>
  <si>
    <t>One unrestricted colony</t>
  </si>
  <si>
    <t>ms</t>
  </si>
  <si>
    <t>Couple single colony spores</t>
  </si>
  <si>
    <t>s</t>
  </si>
  <si>
    <t>On branch</t>
  </si>
  <si>
    <t>Minor flecking on bottom leaves</t>
  </si>
  <si>
    <t>One multi spore colony</t>
  </si>
  <si>
    <t>Small number of single colony pustules</t>
  </si>
  <si>
    <t>Mix</t>
  </si>
  <si>
    <t>One 4 spore colony, one 1 spore colony</t>
  </si>
  <si>
    <t>Minimal young tissue</t>
  </si>
  <si>
    <t>r</t>
  </si>
  <si>
    <t>One restricted spore colony</t>
  </si>
  <si>
    <t>Chlorosis on older leaves</t>
  </si>
  <si>
    <t>Some spore colonies unrestricted with no IR</t>
  </si>
  <si>
    <t>One single spore colony</t>
  </si>
  <si>
    <t>No immune response. On branch</t>
  </si>
  <si>
    <t>Speckled plenty of colonies</t>
  </si>
  <si>
    <t>No new growth</t>
  </si>
  <si>
    <t>Single spore colony</t>
  </si>
  <si>
    <t>Dead; Dropped, strong disruption, before incubation</t>
  </si>
  <si>
    <t>Dropped, strong disruption, before incubation</t>
  </si>
  <si>
    <t>hr</t>
  </si>
  <si>
    <t>Limited IR, Mix spore colony sizes; Dropped, strong disruption, before incubation</t>
  </si>
  <si>
    <t>Missing tip; Dropped, strong disruption, before incubation</t>
  </si>
  <si>
    <t>Limited new growth; Dropped, strong disruption, before incubation</t>
  </si>
  <si>
    <t>On branch; Dropped, strong disruption, before incubation</t>
  </si>
  <si>
    <t>Dehydrated, wasn't watered during incubation; Dropped, strong disruption, before incubation</t>
  </si>
  <si>
    <t>mix</t>
  </si>
  <si>
    <t>On branch, unrestricted colonies with no IR; Dropped, strong disruption, before incubation</t>
  </si>
  <si>
    <t>limited new growth; on branch</t>
  </si>
  <si>
    <t>mrms</t>
  </si>
  <si>
    <t>Single 1 spore colony</t>
  </si>
  <si>
    <t>Some unrestricted colonies with no IR</t>
  </si>
  <si>
    <t>"Score of 4". On branch</t>
  </si>
  <si>
    <t>"Score of 3"; Colonies with no IR</t>
  </si>
  <si>
    <t>Personal COI</t>
  </si>
  <si>
    <t>Imm. resp. (S,MS,MRMS,MR,R)</t>
  </si>
  <si>
    <t>Multiplicative factor</t>
  </si>
  <si>
    <t>Yes</t>
  </si>
  <si>
    <t>No</t>
  </si>
  <si>
    <t>Restricted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</si>
</sst>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5F9FD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CE7DC"/>
        <bgColor indexed="64"/>
      </patternFill>
    </fill>
    <fill>
      <patternFill patternType="solid">
        <fgColor rgb="FFFFFFE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1" xfId="0" applyBorder="1"/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theme="3" tint="0.2499465926084170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7B26-4F5E-4F0C-8C12-A904B022221E}">
  <dimension ref="A1:U247"/>
  <sheetViews>
    <sheetView tabSelected="1" topLeftCell="A2" workbookViewId="0">
      <selection activeCell="F44" sqref="F44"/>
    </sheetView>
  </sheetViews>
  <sheetFormatPr defaultRowHeight="14.5" x14ac:dyDescent="0.35"/>
  <cols>
    <col min="5" max="5" width="11" bestFit="1" customWidth="1"/>
    <col min="8" max="10" width="8.7265625" customWidth="1"/>
    <col min="11" max="11" width="65.81640625" bestFit="1" customWidth="1"/>
    <col min="12" max="17" width="8.7265625" customWidth="1"/>
    <col min="18" max="18" width="5.6328125" bestFit="1" customWidth="1"/>
  </cols>
  <sheetData>
    <row r="1" spans="1:21" ht="15" hidden="1" thickBot="1" x14ac:dyDescent="0.4">
      <c r="A1" s="22" t="s">
        <v>18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 t="s">
        <v>0</v>
      </c>
      <c r="M1" s="24"/>
      <c r="N1" s="24"/>
      <c r="O1" s="24"/>
      <c r="P1" s="24"/>
      <c r="Q1" s="24"/>
      <c r="R1" s="25"/>
    </row>
    <row r="2" spans="1:21" ht="101.5" x14ac:dyDescent="0.3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2" t="s">
        <v>12</v>
      </c>
      <c r="M2" s="11" t="s">
        <v>6</v>
      </c>
      <c r="N2" s="12" t="s">
        <v>13</v>
      </c>
      <c r="O2" s="11" t="s">
        <v>14</v>
      </c>
      <c r="P2" s="8" t="s">
        <v>15</v>
      </c>
      <c r="Q2" s="8" t="s">
        <v>16</v>
      </c>
      <c r="R2" s="13" t="s">
        <v>11</v>
      </c>
      <c r="T2" s="26" t="s">
        <v>63</v>
      </c>
      <c r="U2" s="26"/>
    </row>
    <row r="3" spans="1:21" ht="58" x14ac:dyDescent="0.35">
      <c r="A3" s="1">
        <v>599</v>
      </c>
      <c r="B3" t="s">
        <v>66</v>
      </c>
      <c r="C3" t="s">
        <v>67</v>
      </c>
      <c r="D3" t="s">
        <v>67</v>
      </c>
      <c r="E3" t="s">
        <v>67</v>
      </c>
      <c r="F3" s="14">
        <v>5</v>
      </c>
      <c r="G3" s="15" t="s">
        <v>19</v>
      </c>
      <c r="H3" s="16">
        <f t="shared" ref="H3" si="0">INDEX(U:U, MATCH(G3, T:T, 0))*F3</f>
        <v>1.25</v>
      </c>
      <c r="I3" s="16">
        <f>IF(COUNTIF($T$3:$T$6, G3) &gt; 0, 0, 1)</f>
        <v>0</v>
      </c>
      <c r="J3" s="16">
        <f t="shared" ref="J3" si="1">IF(COUNTIF(T$3:T$5, G3) &gt; 0, 0, 1)</f>
        <v>0</v>
      </c>
      <c r="K3" s="17"/>
      <c r="L3" s="18"/>
      <c r="M3" s="19"/>
      <c r="N3" s="19"/>
      <c r="O3" s="19"/>
      <c r="P3" s="20"/>
      <c r="Q3" s="20"/>
      <c r="R3" s="21"/>
      <c r="T3" s="27" t="s">
        <v>64</v>
      </c>
      <c r="U3" s="28" t="s">
        <v>65</v>
      </c>
    </row>
    <row r="4" spans="1:21" x14ac:dyDescent="0.35">
      <c r="A4" s="1">
        <v>585</v>
      </c>
      <c r="B4" t="s">
        <v>66</v>
      </c>
      <c r="C4" t="s">
        <v>67</v>
      </c>
      <c r="D4" t="s">
        <v>67</v>
      </c>
      <c r="E4" t="s">
        <v>67</v>
      </c>
      <c r="F4" s="14">
        <v>5</v>
      </c>
      <c r="G4" s="15" t="s">
        <v>19</v>
      </c>
      <c r="H4" s="16">
        <f t="shared" ref="H4:H67" si="2">INDEX(U:U, MATCH(G4, T:T, 0))*F4</f>
        <v>1.25</v>
      </c>
      <c r="I4" s="16">
        <f t="shared" ref="I4:I67" si="3">IF(COUNTIF($T$3:$T$6, G4) &gt; 0, 0, 1)</f>
        <v>0</v>
      </c>
      <c r="J4" s="16">
        <f t="shared" ref="J4:J67" si="4">IF(COUNTIF(T$3:T$5, G4) &gt; 0, 0, 1)</f>
        <v>0</v>
      </c>
      <c r="K4" s="17"/>
      <c r="L4" s="18"/>
      <c r="M4" s="19"/>
      <c r="N4" s="19"/>
      <c r="O4" s="19"/>
      <c r="P4" s="20"/>
      <c r="Q4" s="20"/>
      <c r="R4" s="21"/>
      <c r="T4" s="28" t="s">
        <v>17</v>
      </c>
      <c r="U4" s="28">
        <v>0</v>
      </c>
    </row>
    <row r="5" spans="1:21" x14ac:dyDescent="0.35">
      <c r="A5" s="1">
        <v>265</v>
      </c>
      <c r="B5" t="s">
        <v>66</v>
      </c>
      <c r="C5" t="s">
        <v>66</v>
      </c>
      <c r="D5" t="s">
        <v>66</v>
      </c>
      <c r="E5" t="s">
        <v>20</v>
      </c>
      <c r="F5" s="14">
        <v>40</v>
      </c>
      <c r="G5" s="15" t="s">
        <v>25</v>
      </c>
      <c r="H5" s="16">
        <f t="shared" si="2"/>
        <v>35</v>
      </c>
      <c r="I5" s="16">
        <f t="shared" si="3"/>
        <v>1</v>
      </c>
      <c r="J5" s="16">
        <f t="shared" si="4"/>
        <v>1</v>
      </c>
      <c r="K5" s="17"/>
      <c r="L5" s="18"/>
      <c r="M5" s="19"/>
      <c r="N5" s="19"/>
      <c r="O5" s="19"/>
      <c r="P5" s="20"/>
      <c r="Q5" s="20"/>
      <c r="R5" s="21"/>
      <c r="T5" s="28" t="s">
        <v>19</v>
      </c>
      <c r="U5" s="28">
        <v>0.25</v>
      </c>
    </row>
    <row r="6" spans="1:21" x14ac:dyDescent="0.35">
      <c r="A6" s="1">
        <v>313</v>
      </c>
      <c r="B6" t="s">
        <v>66</v>
      </c>
      <c r="C6" t="s">
        <v>66</v>
      </c>
      <c r="D6" t="s">
        <v>67</v>
      </c>
      <c r="E6" t="s">
        <v>20</v>
      </c>
      <c r="F6" s="14">
        <v>75</v>
      </c>
      <c r="G6" s="15" t="s">
        <v>25</v>
      </c>
      <c r="H6" s="16">
        <f t="shared" si="2"/>
        <v>65.625</v>
      </c>
      <c r="I6" s="16">
        <f t="shared" si="3"/>
        <v>1</v>
      </c>
      <c r="J6" s="16">
        <f t="shared" si="4"/>
        <v>1</v>
      </c>
      <c r="K6" s="17"/>
      <c r="L6" s="18"/>
      <c r="M6" s="19"/>
      <c r="N6" s="19"/>
      <c r="O6" s="19"/>
      <c r="P6" s="20"/>
      <c r="Q6" s="20"/>
      <c r="R6" s="21"/>
      <c r="T6" s="28" t="s">
        <v>22</v>
      </c>
      <c r="U6" s="28">
        <v>0.5</v>
      </c>
    </row>
    <row r="7" spans="1:21" x14ac:dyDescent="0.35">
      <c r="A7" s="1">
        <v>577</v>
      </c>
      <c r="B7" t="s">
        <v>66</v>
      </c>
      <c r="C7" t="s">
        <v>67</v>
      </c>
      <c r="D7" t="s">
        <v>67</v>
      </c>
      <c r="E7" t="s">
        <v>67</v>
      </c>
      <c r="F7" s="14">
        <v>5</v>
      </c>
      <c r="G7" s="15" t="s">
        <v>19</v>
      </c>
      <c r="H7" s="16">
        <f t="shared" si="2"/>
        <v>1.25</v>
      </c>
      <c r="I7" s="16">
        <f t="shared" si="3"/>
        <v>0</v>
      </c>
      <c r="J7" s="16">
        <f t="shared" si="4"/>
        <v>0</v>
      </c>
      <c r="K7" s="17"/>
      <c r="L7" s="18"/>
      <c r="M7" s="19"/>
      <c r="N7" s="19"/>
      <c r="O7" s="19"/>
      <c r="P7" s="20"/>
      <c r="Q7" s="20"/>
      <c r="R7" s="21"/>
      <c r="T7" s="28" t="s">
        <v>23</v>
      </c>
      <c r="U7" s="28">
        <v>0.75</v>
      </c>
    </row>
    <row r="8" spans="1:21" x14ac:dyDescent="0.35">
      <c r="A8" s="1">
        <v>541</v>
      </c>
      <c r="B8" t="s">
        <v>66</v>
      </c>
      <c r="C8" t="s">
        <v>66</v>
      </c>
      <c r="D8" t="s">
        <v>67</v>
      </c>
      <c r="E8" t="s">
        <v>67</v>
      </c>
      <c r="F8" s="14">
        <v>10</v>
      </c>
      <c r="G8" s="15" t="s">
        <v>19</v>
      </c>
      <c r="H8" s="16">
        <f t="shared" si="2"/>
        <v>2.5</v>
      </c>
      <c r="I8" s="16">
        <f t="shared" si="3"/>
        <v>0</v>
      </c>
      <c r="J8" s="16">
        <f t="shared" si="4"/>
        <v>0</v>
      </c>
      <c r="K8" s="17"/>
      <c r="L8" s="18"/>
      <c r="M8" s="19"/>
      <c r="N8" s="19"/>
      <c r="O8" s="19"/>
      <c r="P8" s="20"/>
      <c r="Q8" s="20"/>
      <c r="R8" s="21"/>
      <c r="T8" s="28" t="s">
        <v>25</v>
      </c>
      <c r="U8" s="28">
        <f>0.75+0.125</f>
        <v>0.875</v>
      </c>
    </row>
    <row r="9" spans="1:21" x14ac:dyDescent="0.35">
      <c r="A9" s="1">
        <v>560</v>
      </c>
      <c r="B9" t="s">
        <v>66</v>
      </c>
      <c r="C9" t="s">
        <v>66</v>
      </c>
      <c r="D9" t="s">
        <v>67</v>
      </c>
      <c r="E9" t="s">
        <v>67</v>
      </c>
      <c r="F9" s="14">
        <v>10</v>
      </c>
      <c r="G9" s="15" t="s">
        <v>19</v>
      </c>
      <c r="H9" s="16">
        <f t="shared" si="2"/>
        <v>2.5</v>
      </c>
      <c r="I9" s="16">
        <f t="shared" si="3"/>
        <v>0</v>
      </c>
      <c r="J9" s="16">
        <f t="shared" si="4"/>
        <v>0</v>
      </c>
      <c r="K9" s="17"/>
      <c r="L9" s="18"/>
      <c r="M9" s="19"/>
      <c r="N9" s="19"/>
      <c r="O9" s="19"/>
      <c r="P9" s="20"/>
      <c r="Q9" s="20"/>
      <c r="R9" s="21"/>
      <c r="T9" s="28" t="s">
        <v>21</v>
      </c>
      <c r="U9" s="28">
        <v>1</v>
      </c>
    </row>
    <row r="10" spans="1:21" x14ac:dyDescent="0.35">
      <c r="A10" s="1">
        <v>576</v>
      </c>
      <c r="B10" t="s">
        <v>66</v>
      </c>
      <c r="C10" t="s">
        <v>66</v>
      </c>
      <c r="D10" t="s">
        <v>67</v>
      </c>
      <c r="E10" t="s">
        <v>67</v>
      </c>
      <c r="F10" s="14">
        <v>10</v>
      </c>
      <c r="G10" s="15" t="s">
        <v>19</v>
      </c>
      <c r="H10" s="16">
        <f t="shared" si="2"/>
        <v>2.5</v>
      </c>
      <c r="I10" s="16">
        <f t="shared" si="3"/>
        <v>0</v>
      </c>
      <c r="J10" s="16">
        <f t="shared" si="4"/>
        <v>0</v>
      </c>
      <c r="K10" s="17"/>
      <c r="L10" s="18"/>
      <c r="M10" s="19"/>
      <c r="N10" s="19"/>
      <c r="O10" s="19"/>
      <c r="P10" s="20"/>
      <c r="Q10" s="20"/>
      <c r="R10" s="21"/>
      <c r="T10" s="28"/>
      <c r="U10" s="28"/>
    </row>
    <row r="11" spans="1:21" x14ac:dyDescent="0.35">
      <c r="A11" s="1">
        <v>62</v>
      </c>
      <c r="B11" t="s">
        <v>67</v>
      </c>
      <c r="C11" t="s">
        <v>66</v>
      </c>
      <c r="D11" t="s">
        <v>67</v>
      </c>
      <c r="E11" t="s">
        <v>20</v>
      </c>
      <c r="F11" s="14">
        <v>25</v>
      </c>
      <c r="G11" s="15" t="s">
        <v>23</v>
      </c>
      <c r="H11" s="16">
        <f t="shared" si="2"/>
        <v>18.75</v>
      </c>
      <c r="I11" s="16">
        <f t="shared" si="3"/>
        <v>1</v>
      </c>
      <c r="J11" s="16">
        <f t="shared" si="4"/>
        <v>1</v>
      </c>
      <c r="K11" s="17" t="s">
        <v>26</v>
      </c>
      <c r="L11" s="18"/>
      <c r="M11" s="19"/>
      <c r="N11" s="19"/>
      <c r="O11" s="19"/>
      <c r="P11" s="20"/>
      <c r="Q11" s="20"/>
      <c r="R11" s="21"/>
    </row>
    <row r="12" spans="1:21" x14ac:dyDescent="0.35">
      <c r="A12" s="1">
        <v>667</v>
      </c>
      <c r="B12" t="s">
        <v>67</v>
      </c>
      <c r="C12" t="s">
        <v>67</v>
      </c>
      <c r="D12" t="s">
        <v>67</v>
      </c>
      <c r="E12" t="s">
        <v>67</v>
      </c>
      <c r="F12" s="14">
        <v>0</v>
      </c>
      <c r="G12" s="15" t="s">
        <v>17</v>
      </c>
      <c r="H12" s="16">
        <f t="shared" si="2"/>
        <v>0</v>
      </c>
      <c r="I12" s="16">
        <f t="shared" si="3"/>
        <v>0</v>
      </c>
      <c r="J12" s="16">
        <f t="shared" si="4"/>
        <v>0</v>
      </c>
      <c r="K12" s="17"/>
      <c r="L12" s="18"/>
      <c r="M12" s="19"/>
      <c r="N12" s="19"/>
      <c r="O12" s="19"/>
      <c r="P12" s="20"/>
      <c r="Q12" s="20"/>
      <c r="R12" s="21"/>
    </row>
    <row r="13" spans="1:21" x14ac:dyDescent="0.35">
      <c r="A13" s="1">
        <v>544</v>
      </c>
      <c r="B13" t="s">
        <v>67</v>
      </c>
      <c r="C13" t="s">
        <v>66</v>
      </c>
      <c r="D13" t="s">
        <v>67</v>
      </c>
      <c r="E13" t="s">
        <v>67</v>
      </c>
      <c r="F13" s="14">
        <v>5</v>
      </c>
      <c r="G13" s="15" t="s">
        <v>19</v>
      </c>
      <c r="H13" s="16">
        <f t="shared" si="2"/>
        <v>1.25</v>
      </c>
      <c r="I13" s="16">
        <f t="shared" si="3"/>
        <v>0</v>
      </c>
      <c r="J13" s="16">
        <f t="shared" si="4"/>
        <v>0</v>
      </c>
      <c r="K13" s="17"/>
      <c r="L13" s="18"/>
      <c r="M13" s="19"/>
      <c r="N13" s="19"/>
      <c r="O13" s="19"/>
      <c r="P13" s="20"/>
      <c r="Q13" s="20"/>
      <c r="R13" s="21"/>
    </row>
    <row r="14" spans="1:21" x14ac:dyDescent="0.35">
      <c r="A14" s="1">
        <v>614</v>
      </c>
      <c r="B14" t="s">
        <v>67</v>
      </c>
      <c r="C14" t="s">
        <v>66</v>
      </c>
      <c r="D14" t="s">
        <v>67</v>
      </c>
      <c r="E14" t="s">
        <v>20</v>
      </c>
      <c r="F14" s="14">
        <v>15</v>
      </c>
      <c r="G14" s="15" t="s">
        <v>25</v>
      </c>
      <c r="H14" s="16">
        <f t="shared" si="2"/>
        <v>13.125</v>
      </c>
      <c r="I14" s="16">
        <f t="shared" si="3"/>
        <v>1</v>
      </c>
      <c r="J14" s="16">
        <f t="shared" si="4"/>
        <v>1</v>
      </c>
      <c r="K14" s="17" t="s">
        <v>27</v>
      </c>
      <c r="L14" s="18"/>
      <c r="M14" s="19"/>
      <c r="N14" s="19"/>
      <c r="O14" s="19"/>
      <c r="P14" s="20"/>
      <c r="Q14" s="20"/>
      <c r="R14" s="21"/>
    </row>
    <row r="15" spans="1:21" x14ac:dyDescent="0.35">
      <c r="A15" s="1">
        <v>408</v>
      </c>
      <c r="B15" t="s">
        <v>67</v>
      </c>
      <c r="C15" t="s">
        <v>66</v>
      </c>
      <c r="D15" t="s">
        <v>66</v>
      </c>
      <c r="E15" t="s">
        <v>68</v>
      </c>
      <c r="F15" s="14">
        <v>15</v>
      </c>
      <c r="G15" s="15" t="s">
        <v>23</v>
      </c>
      <c r="H15" s="16">
        <f t="shared" si="2"/>
        <v>11.25</v>
      </c>
      <c r="I15" s="16">
        <f t="shared" si="3"/>
        <v>1</v>
      </c>
      <c r="J15" s="16">
        <f t="shared" si="4"/>
        <v>1</v>
      </c>
      <c r="K15" s="17"/>
      <c r="L15" s="18"/>
      <c r="M15" s="19"/>
      <c r="N15" s="19"/>
      <c r="O15" s="19"/>
      <c r="P15" s="20"/>
      <c r="Q15" s="20"/>
      <c r="R15" s="21"/>
    </row>
    <row r="16" spans="1:21" x14ac:dyDescent="0.35">
      <c r="A16" s="1">
        <v>129</v>
      </c>
      <c r="B16" t="s">
        <v>66</v>
      </c>
      <c r="C16" t="s">
        <v>66</v>
      </c>
      <c r="D16" t="s">
        <v>67</v>
      </c>
      <c r="E16" t="s">
        <v>67</v>
      </c>
      <c r="F16" s="14">
        <v>25</v>
      </c>
      <c r="G16" s="15" t="s">
        <v>19</v>
      </c>
      <c r="H16" s="16">
        <f t="shared" si="2"/>
        <v>6.25</v>
      </c>
      <c r="I16" s="16">
        <f t="shared" si="3"/>
        <v>0</v>
      </c>
      <c r="J16" s="16">
        <f t="shared" si="4"/>
        <v>0</v>
      </c>
      <c r="K16" s="17"/>
      <c r="L16" s="18"/>
      <c r="M16" s="19"/>
      <c r="N16" s="19"/>
      <c r="O16" s="19"/>
      <c r="P16" s="20"/>
      <c r="Q16" s="20"/>
      <c r="R16" s="21"/>
    </row>
    <row r="17" spans="1:18" x14ac:dyDescent="0.35">
      <c r="A17" s="1">
        <v>315</v>
      </c>
      <c r="B17" t="s">
        <v>67</v>
      </c>
      <c r="C17" t="s">
        <v>67</v>
      </c>
      <c r="D17" t="s">
        <v>67</v>
      </c>
      <c r="E17" t="s">
        <v>20</v>
      </c>
      <c r="F17" s="14">
        <v>60</v>
      </c>
      <c r="G17" s="15" t="s">
        <v>21</v>
      </c>
      <c r="H17" s="16">
        <f t="shared" si="2"/>
        <v>60</v>
      </c>
      <c r="I17" s="16">
        <f t="shared" si="3"/>
        <v>1</v>
      </c>
      <c r="J17" s="16">
        <f t="shared" si="4"/>
        <v>1</v>
      </c>
      <c r="K17" s="17"/>
      <c r="L17" s="18"/>
      <c r="M17" s="19"/>
      <c r="N17" s="19"/>
      <c r="O17" s="19"/>
      <c r="P17" s="20"/>
      <c r="Q17" s="20"/>
      <c r="R17" s="21"/>
    </row>
    <row r="18" spans="1:18" x14ac:dyDescent="0.35">
      <c r="A18" s="1">
        <v>407</v>
      </c>
      <c r="B18" t="s">
        <v>67</v>
      </c>
      <c r="C18" t="s">
        <v>66</v>
      </c>
      <c r="D18" t="s">
        <v>67</v>
      </c>
      <c r="E18" t="s">
        <v>68</v>
      </c>
      <c r="F18" s="14">
        <v>10</v>
      </c>
      <c r="G18" s="15" t="s">
        <v>22</v>
      </c>
      <c r="H18" s="16">
        <f t="shared" si="2"/>
        <v>5</v>
      </c>
      <c r="I18" s="16">
        <f t="shared" si="3"/>
        <v>0</v>
      </c>
      <c r="J18" s="16">
        <f t="shared" si="4"/>
        <v>1</v>
      </c>
      <c r="K18" s="17" t="s">
        <v>29</v>
      </c>
      <c r="L18" s="18"/>
      <c r="M18" s="19"/>
      <c r="N18" s="19"/>
      <c r="O18" s="19"/>
      <c r="P18" s="20"/>
      <c r="Q18" s="20"/>
      <c r="R18" s="21"/>
    </row>
    <row r="19" spans="1:18" x14ac:dyDescent="0.35">
      <c r="A19" s="1">
        <v>712</v>
      </c>
      <c r="B19" t="s">
        <v>66</v>
      </c>
      <c r="C19" t="s">
        <v>67</v>
      </c>
      <c r="D19" t="s">
        <v>67</v>
      </c>
      <c r="E19" t="s">
        <v>67</v>
      </c>
      <c r="F19" s="14">
        <v>5</v>
      </c>
      <c r="G19" s="15" t="s">
        <v>19</v>
      </c>
      <c r="H19" s="16">
        <f t="shared" si="2"/>
        <v>1.25</v>
      </c>
      <c r="I19" s="16">
        <f t="shared" si="3"/>
        <v>0</v>
      </c>
      <c r="J19" s="16">
        <f t="shared" si="4"/>
        <v>0</v>
      </c>
      <c r="K19" s="17"/>
      <c r="L19" s="18"/>
      <c r="M19" s="19"/>
      <c r="N19" s="19"/>
      <c r="O19" s="19"/>
      <c r="P19" s="20"/>
      <c r="Q19" s="20"/>
      <c r="R19" s="21"/>
    </row>
    <row r="20" spans="1:18" x14ac:dyDescent="0.35">
      <c r="A20" s="1">
        <v>580</v>
      </c>
      <c r="B20" t="s">
        <v>66</v>
      </c>
      <c r="C20" t="s">
        <v>67</v>
      </c>
      <c r="D20" t="s">
        <v>67</v>
      </c>
      <c r="E20" t="s">
        <v>67</v>
      </c>
      <c r="F20" s="14">
        <v>5</v>
      </c>
      <c r="G20" s="15" t="s">
        <v>19</v>
      </c>
      <c r="H20" s="16">
        <f t="shared" si="2"/>
        <v>1.25</v>
      </c>
      <c r="I20" s="16">
        <f t="shared" si="3"/>
        <v>0</v>
      </c>
      <c r="J20" s="16">
        <f t="shared" si="4"/>
        <v>0</v>
      </c>
      <c r="K20" s="17"/>
      <c r="L20" s="18"/>
      <c r="M20" s="19"/>
      <c r="N20" s="19"/>
      <c r="O20" s="19"/>
      <c r="P20" s="20"/>
      <c r="Q20" s="20"/>
      <c r="R20" s="21"/>
    </row>
    <row r="21" spans="1:18" x14ac:dyDescent="0.35">
      <c r="A21" s="1">
        <v>388</v>
      </c>
      <c r="B21" t="s">
        <v>67</v>
      </c>
      <c r="C21" t="s">
        <v>67</v>
      </c>
      <c r="D21" t="s">
        <v>67</v>
      </c>
      <c r="E21" t="s">
        <v>20</v>
      </c>
      <c r="F21" s="14">
        <v>40</v>
      </c>
      <c r="G21" s="15" t="s">
        <v>21</v>
      </c>
      <c r="H21" s="16">
        <f t="shared" si="2"/>
        <v>40</v>
      </c>
      <c r="I21" s="16">
        <f t="shared" si="3"/>
        <v>1</v>
      </c>
      <c r="J21" s="16">
        <f t="shared" si="4"/>
        <v>1</v>
      </c>
      <c r="K21" s="17"/>
      <c r="L21" s="18"/>
      <c r="M21" s="19"/>
      <c r="N21" s="19"/>
      <c r="O21" s="19"/>
      <c r="P21" s="20"/>
      <c r="Q21" s="20"/>
      <c r="R21" s="21"/>
    </row>
    <row r="22" spans="1:18" x14ac:dyDescent="0.35">
      <c r="A22" s="1">
        <v>353</v>
      </c>
      <c r="B22" t="s">
        <v>66</v>
      </c>
      <c r="C22" t="s">
        <v>66</v>
      </c>
      <c r="D22" t="s">
        <v>67</v>
      </c>
      <c r="E22" t="s">
        <v>20</v>
      </c>
      <c r="F22" s="14">
        <v>75</v>
      </c>
      <c r="G22" s="15" t="s">
        <v>25</v>
      </c>
      <c r="H22" s="16">
        <f t="shared" si="2"/>
        <v>65.625</v>
      </c>
      <c r="I22" s="16">
        <f t="shared" si="3"/>
        <v>1</v>
      </c>
      <c r="J22" s="16">
        <f t="shared" si="4"/>
        <v>1</v>
      </c>
      <c r="K22" s="17" t="s">
        <v>31</v>
      </c>
      <c r="L22" s="18"/>
      <c r="M22" s="19"/>
      <c r="N22" s="19"/>
      <c r="O22" s="19"/>
      <c r="P22" s="20"/>
      <c r="Q22" s="20"/>
      <c r="R22" s="21"/>
    </row>
    <row r="23" spans="1:18" x14ac:dyDescent="0.35">
      <c r="A23" s="1">
        <v>392</v>
      </c>
      <c r="B23" t="s">
        <v>67</v>
      </c>
      <c r="C23" t="s">
        <v>67</v>
      </c>
      <c r="D23" t="s">
        <v>67</v>
      </c>
      <c r="E23" t="s">
        <v>20</v>
      </c>
      <c r="F23" s="14">
        <v>25</v>
      </c>
      <c r="G23" s="15" t="s">
        <v>21</v>
      </c>
      <c r="H23" s="16">
        <f t="shared" si="2"/>
        <v>25</v>
      </c>
      <c r="I23" s="16">
        <f t="shared" si="3"/>
        <v>1</v>
      </c>
      <c r="J23" s="16">
        <f t="shared" si="4"/>
        <v>1</v>
      </c>
      <c r="K23" s="17" t="s">
        <v>32</v>
      </c>
      <c r="L23" s="18"/>
      <c r="M23" s="19"/>
      <c r="N23" s="19"/>
      <c r="O23" s="19"/>
      <c r="P23" s="20"/>
      <c r="Q23" s="20"/>
      <c r="R23" s="21"/>
    </row>
    <row r="24" spans="1:18" x14ac:dyDescent="0.35">
      <c r="A24" s="1">
        <v>710</v>
      </c>
      <c r="B24" t="s">
        <v>67</v>
      </c>
      <c r="C24" t="s">
        <v>67</v>
      </c>
      <c r="D24" t="s">
        <v>67</v>
      </c>
      <c r="E24" t="s">
        <v>67</v>
      </c>
      <c r="F24" s="14">
        <v>0</v>
      </c>
      <c r="G24" s="15" t="s">
        <v>17</v>
      </c>
      <c r="H24" s="16">
        <f t="shared" si="2"/>
        <v>0</v>
      </c>
      <c r="I24" s="16">
        <f t="shared" si="3"/>
        <v>0</v>
      </c>
      <c r="J24" s="16">
        <f t="shared" si="4"/>
        <v>0</v>
      </c>
      <c r="K24" s="17"/>
      <c r="L24" s="18"/>
      <c r="M24" s="19"/>
      <c r="N24" s="19"/>
      <c r="O24" s="19"/>
      <c r="P24" s="20"/>
      <c r="Q24" s="20"/>
      <c r="R24" s="21"/>
    </row>
    <row r="25" spans="1:18" x14ac:dyDescent="0.35">
      <c r="A25" s="1">
        <v>565</v>
      </c>
      <c r="B25" t="s">
        <v>67</v>
      </c>
      <c r="C25" t="s">
        <v>67</v>
      </c>
      <c r="D25" t="s">
        <v>67</v>
      </c>
      <c r="E25" t="s">
        <v>67</v>
      </c>
      <c r="F25" s="14">
        <v>0</v>
      </c>
      <c r="G25" s="15" t="s">
        <v>17</v>
      </c>
      <c r="H25" s="16">
        <f t="shared" si="2"/>
        <v>0</v>
      </c>
      <c r="I25" s="16">
        <f t="shared" si="3"/>
        <v>0</v>
      </c>
      <c r="J25" s="16">
        <f t="shared" si="4"/>
        <v>0</v>
      </c>
      <c r="K25" s="17"/>
      <c r="L25" s="18"/>
      <c r="M25" s="19"/>
      <c r="N25" s="19"/>
      <c r="O25" s="19"/>
      <c r="P25" s="20"/>
      <c r="Q25" s="20"/>
      <c r="R25" s="21"/>
    </row>
    <row r="26" spans="1:18" x14ac:dyDescent="0.35">
      <c r="A26" s="1">
        <v>657</v>
      </c>
      <c r="B26" t="s">
        <v>67</v>
      </c>
      <c r="C26" t="s">
        <v>66</v>
      </c>
      <c r="D26" t="s">
        <v>67</v>
      </c>
      <c r="E26" t="s">
        <v>20</v>
      </c>
      <c r="F26" s="14">
        <v>15</v>
      </c>
      <c r="G26" s="15" t="s">
        <v>23</v>
      </c>
      <c r="H26" s="16">
        <f t="shared" si="2"/>
        <v>11.25</v>
      </c>
      <c r="I26" s="16">
        <f t="shared" si="3"/>
        <v>1</v>
      </c>
      <c r="J26" s="16">
        <f t="shared" si="4"/>
        <v>1</v>
      </c>
      <c r="K26" s="17" t="s">
        <v>33</v>
      </c>
      <c r="L26" s="18"/>
      <c r="M26" s="19"/>
      <c r="N26" s="19"/>
      <c r="O26" s="19"/>
      <c r="P26" s="20"/>
      <c r="Q26" s="20"/>
      <c r="R26" s="21"/>
    </row>
    <row r="27" spans="1:18" x14ac:dyDescent="0.35">
      <c r="A27" s="1">
        <v>438</v>
      </c>
      <c r="B27" t="s">
        <v>67</v>
      </c>
      <c r="C27" t="s">
        <v>66</v>
      </c>
      <c r="D27" t="s">
        <v>67</v>
      </c>
      <c r="E27" t="s">
        <v>20</v>
      </c>
      <c r="F27" s="14">
        <v>40</v>
      </c>
      <c r="G27" s="15" t="s">
        <v>25</v>
      </c>
      <c r="H27" s="16">
        <f t="shared" si="2"/>
        <v>35</v>
      </c>
      <c r="I27" s="16">
        <f t="shared" si="3"/>
        <v>1</v>
      </c>
      <c r="J27" s="16">
        <f t="shared" si="4"/>
        <v>1</v>
      </c>
      <c r="K27" s="17"/>
      <c r="L27" s="18"/>
      <c r="M27" s="19"/>
      <c r="N27" s="19"/>
      <c r="O27" s="19"/>
      <c r="P27" s="20"/>
      <c r="Q27" s="20"/>
      <c r="R27" s="21"/>
    </row>
    <row r="28" spans="1:18" x14ac:dyDescent="0.35">
      <c r="A28" s="1">
        <v>285</v>
      </c>
      <c r="B28" t="s">
        <v>66</v>
      </c>
      <c r="C28" t="s">
        <v>66</v>
      </c>
      <c r="D28" t="s">
        <v>67</v>
      </c>
      <c r="E28" t="s">
        <v>20</v>
      </c>
      <c r="F28" s="14">
        <v>40</v>
      </c>
      <c r="G28" s="15" t="s">
        <v>25</v>
      </c>
      <c r="H28" s="16">
        <f t="shared" si="2"/>
        <v>35</v>
      </c>
      <c r="I28" s="16">
        <f t="shared" si="3"/>
        <v>1</v>
      </c>
      <c r="J28" s="16">
        <f t="shared" si="4"/>
        <v>1</v>
      </c>
      <c r="K28" s="17"/>
      <c r="L28" s="18"/>
      <c r="M28" s="19"/>
      <c r="N28" s="19"/>
      <c r="O28" s="19"/>
      <c r="P28" s="20"/>
      <c r="Q28" s="20"/>
      <c r="R28" s="21"/>
    </row>
    <row r="29" spans="1:18" x14ac:dyDescent="0.35">
      <c r="A29" s="1">
        <v>218</v>
      </c>
      <c r="B29" t="s">
        <v>66</v>
      </c>
      <c r="C29" t="s">
        <v>66</v>
      </c>
      <c r="D29" t="s">
        <v>66</v>
      </c>
      <c r="E29" t="s">
        <v>68</v>
      </c>
      <c r="F29" s="14">
        <v>60</v>
      </c>
      <c r="G29" s="15" t="s">
        <v>22</v>
      </c>
      <c r="H29" s="16">
        <f t="shared" si="2"/>
        <v>30</v>
      </c>
      <c r="I29" s="16">
        <f t="shared" si="3"/>
        <v>0</v>
      </c>
      <c r="J29" s="16">
        <f t="shared" si="4"/>
        <v>1</v>
      </c>
      <c r="K29" s="17" t="s">
        <v>34</v>
      </c>
      <c r="L29" s="18"/>
      <c r="M29" s="19"/>
      <c r="N29" s="19"/>
      <c r="O29" s="19"/>
      <c r="P29" s="20"/>
      <c r="Q29" s="20"/>
      <c r="R29" s="21"/>
    </row>
    <row r="30" spans="1:18" x14ac:dyDescent="0.35">
      <c r="A30" s="1">
        <v>558</v>
      </c>
      <c r="B30" t="s">
        <v>67</v>
      </c>
      <c r="C30" t="s">
        <v>67</v>
      </c>
      <c r="D30" t="s">
        <v>67</v>
      </c>
      <c r="E30" t="s">
        <v>67</v>
      </c>
      <c r="F30" s="14">
        <v>0</v>
      </c>
      <c r="G30" s="15" t="s">
        <v>17</v>
      </c>
      <c r="H30" s="16">
        <f t="shared" si="2"/>
        <v>0</v>
      </c>
      <c r="I30" s="16">
        <f t="shared" si="3"/>
        <v>0</v>
      </c>
      <c r="J30" s="16">
        <f t="shared" si="4"/>
        <v>0</v>
      </c>
      <c r="K30" s="17"/>
      <c r="L30" s="18"/>
      <c r="M30" s="19"/>
      <c r="N30" s="19"/>
      <c r="O30" s="19"/>
      <c r="P30" s="20"/>
      <c r="Q30" s="20"/>
      <c r="R30" s="21"/>
    </row>
    <row r="31" spans="1:18" x14ac:dyDescent="0.35">
      <c r="A31" s="1">
        <v>449</v>
      </c>
      <c r="B31" t="s">
        <v>67</v>
      </c>
      <c r="C31" t="s">
        <v>67</v>
      </c>
      <c r="D31" t="s">
        <v>67</v>
      </c>
      <c r="E31" t="s">
        <v>20</v>
      </c>
      <c r="F31" s="14">
        <v>30</v>
      </c>
      <c r="G31" s="15" t="s">
        <v>21</v>
      </c>
      <c r="H31" s="16">
        <f t="shared" si="2"/>
        <v>30</v>
      </c>
      <c r="I31" s="16">
        <f t="shared" si="3"/>
        <v>1</v>
      </c>
      <c r="J31" s="16">
        <f t="shared" si="4"/>
        <v>1</v>
      </c>
      <c r="K31" s="17" t="s">
        <v>31</v>
      </c>
      <c r="L31" s="18"/>
      <c r="M31" s="19"/>
      <c r="N31" s="19"/>
      <c r="O31" s="19"/>
      <c r="P31" s="20"/>
      <c r="Q31" s="20"/>
      <c r="R31" s="21"/>
    </row>
    <row r="32" spans="1:18" x14ac:dyDescent="0.35">
      <c r="A32" s="1">
        <v>709</v>
      </c>
      <c r="B32" t="s">
        <v>67</v>
      </c>
      <c r="C32" t="s">
        <v>67</v>
      </c>
      <c r="D32" t="s">
        <v>67</v>
      </c>
      <c r="E32" t="s">
        <v>67</v>
      </c>
      <c r="F32" s="14">
        <v>0</v>
      </c>
      <c r="G32" s="15" t="s">
        <v>17</v>
      </c>
      <c r="H32" s="16">
        <f t="shared" si="2"/>
        <v>0</v>
      </c>
      <c r="I32" s="16">
        <f t="shared" si="3"/>
        <v>0</v>
      </c>
      <c r="J32" s="16">
        <f t="shared" si="4"/>
        <v>0</v>
      </c>
      <c r="K32" s="17"/>
      <c r="L32" s="18"/>
      <c r="M32" s="19"/>
      <c r="N32" s="19"/>
      <c r="O32" s="19"/>
      <c r="P32" s="20"/>
      <c r="Q32" s="20"/>
      <c r="R32" s="21"/>
    </row>
    <row r="33" spans="1:18" x14ac:dyDescent="0.35">
      <c r="A33" s="1">
        <v>1</v>
      </c>
      <c r="B33" t="s">
        <v>67</v>
      </c>
      <c r="C33" t="s">
        <v>66</v>
      </c>
      <c r="D33" t="s">
        <v>67</v>
      </c>
      <c r="E33" t="s">
        <v>67</v>
      </c>
      <c r="F33" s="14">
        <v>5</v>
      </c>
      <c r="G33" s="15" t="s">
        <v>19</v>
      </c>
      <c r="H33" s="16">
        <f t="shared" si="2"/>
        <v>1.25</v>
      </c>
      <c r="I33" s="16">
        <f t="shared" si="3"/>
        <v>0</v>
      </c>
      <c r="J33" s="16">
        <f t="shared" si="4"/>
        <v>0</v>
      </c>
      <c r="K33" s="17"/>
      <c r="L33" s="18"/>
      <c r="M33" s="19"/>
      <c r="N33" s="19"/>
      <c r="O33" s="19"/>
      <c r="P33" s="20"/>
      <c r="Q33" s="20"/>
      <c r="R33" s="21"/>
    </row>
    <row r="34" spans="1:18" x14ac:dyDescent="0.35">
      <c r="A34" s="1">
        <v>340</v>
      </c>
      <c r="B34" t="s">
        <v>66</v>
      </c>
      <c r="C34" t="s">
        <v>66</v>
      </c>
      <c r="D34" t="s">
        <v>67</v>
      </c>
      <c r="E34" t="s">
        <v>68</v>
      </c>
      <c r="F34" s="14">
        <v>10</v>
      </c>
      <c r="G34" s="15" t="s">
        <v>22</v>
      </c>
      <c r="H34" s="16">
        <f t="shared" si="2"/>
        <v>5</v>
      </c>
      <c r="I34" s="16">
        <f t="shared" si="3"/>
        <v>0</v>
      </c>
      <c r="J34" s="16">
        <f t="shared" si="4"/>
        <v>1</v>
      </c>
      <c r="K34" s="17" t="s">
        <v>36</v>
      </c>
      <c r="L34" s="18"/>
      <c r="M34" s="19"/>
      <c r="N34" s="19"/>
      <c r="O34" s="19"/>
      <c r="P34" s="20"/>
      <c r="Q34" s="20"/>
      <c r="R34" s="21"/>
    </row>
    <row r="35" spans="1:18" x14ac:dyDescent="0.35">
      <c r="A35" s="1">
        <v>611</v>
      </c>
      <c r="B35" t="s">
        <v>67</v>
      </c>
      <c r="C35" t="s">
        <v>67</v>
      </c>
      <c r="D35" t="s">
        <v>67</v>
      </c>
      <c r="E35" t="s">
        <v>67</v>
      </c>
      <c r="F35" s="14">
        <v>0</v>
      </c>
      <c r="G35" s="15" t="s">
        <v>17</v>
      </c>
      <c r="H35" s="16">
        <f t="shared" si="2"/>
        <v>0</v>
      </c>
      <c r="I35" s="16">
        <f t="shared" si="3"/>
        <v>0</v>
      </c>
      <c r="J35" s="16">
        <f t="shared" si="4"/>
        <v>0</v>
      </c>
      <c r="K35" s="17" t="s">
        <v>37</v>
      </c>
      <c r="L35" s="18"/>
      <c r="M35" s="19"/>
      <c r="N35" s="19"/>
      <c r="O35" s="19"/>
      <c r="P35" s="20"/>
      <c r="Q35" s="20"/>
      <c r="R35" s="21"/>
    </row>
    <row r="36" spans="1:18" x14ac:dyDescent="0.35">
      <c r="A36" s="1">
        <v>359</v>
      </c>
      <c r="B36" t="s">
        <v>66</v>
      </c>
      <c r="C36" t="s">
        <v>66</v>
      </c>
      <c r="D36" t="s">
        <v>67</v>
      </c>
      <c r="E36" t="s">
        <v>20</v>
      </c>
      <c r="F36" s="14">
        <v>75</v>
      </c>
      <c r="G36" s="15" t="s">
        <v>25</v>
      </c>
      <c r="H36" s="16">
        <f t="shared" si="2"/>
        <v>65.625</v>
      </c>
      <c r="I36" s="16">
        <f t="shared" si="3"/>
        <v>1</v>
      </c>
      <c r="J36" s="16">
        <f t="shared" si="4"/>
        <v>1</v>
      </c>
      <c r="K36" s="17"/>
      <c r="L36" s="18"/>
      <c r="M36" s="19"/>
      <c r="N36" s="19"/>
      <c r="O36" s="19"/>
      <c r="P36" s="20"/>
      <c r="Q36" s="20"/>
      <c r="R36" s="21"/>
    </row>
    <row r="37" spans="1:18" x14ac:dyDescent="0.35">
      <c r="A37" s="1">
        <v>714</v>
      </c>
      <c r="B37" t="s">
        <v>67</v>
      </c>
      <c r="C37" t="s">
        <v>67</v>
      </c>
      <c r="D37" t="s">
        <v>67</v>
      </c>
      <c r="E37" t="s">
        <v>67</v>
      </c>
      <c r="F37" s="14">
        <v>0</v>
      </c>
      <c r="G37" s="15" t="s">
        <v>17</v>
      </c>
      <c r="H37" s="16">
        <f t="shared" si="2"/>
        <v>0</v>
      </c>
      <c r="I37" s="16">
        <f t="shared" si="3"/>
        <v>0</v>
      </c>
      <c r="J37" s="16">
        <f t="shared" si="4"/>
        <v>0</v>
      </c>
      <c r="K37" s="17"/>
      <c r="L37" s="18"/>
      <c r="M37" s="19"/>
      <c r="N37" s="19"/>
      <c r="O37" s="19"/>
      <c r="P37" s="20"/>
      <c r="Q37" s="20"/>
      <c r="R37" s="21"/>
    </row>
    <row r="38" spans="1:18" x14ac:dyDescent="0.35">
      <c r="A38" s="1">
        <v>40</v>
      </c>
      <c r="B38" t="s">
        <v>66</v>
      </c>
      <c r="C38" t="s">
        <v>67</v>
      </c>
      <c r="D38" t="s">
        <v>67</v>
      </c>
      <c r="E38" t="s">
        <v>67</v>
      </c>
      <c r="F38" s="14">
        <v>5</v>
      </c>
      <c r="G38" s="15" t="s">
        <v>19</v>
      </c>
      <c r="H38" s="16">
        <f t="shared" si="2"/>
        <v>1.25</v>
      </c>
      <c r="I38" s="16">
        <f t="shared" si="3"/>
        <v>0</v>
      </c>
      <c r="J38" s="16">
        <f t="shared" si="4"/>
        <v>0</v>
      </c>
      <c r="K38" s="17"/>
      <c r="L38" s="18"/>
      <c r="M38" s="19"/>
      <c r="N38" s="19"/>
      <c r="O38" s="19"/>
      <c r="P38" s="20"/>
      <c r="Q38" s="20"/>
      <c r="R38" s="21"/>
    </row>
    <row r="39" spans="1:18" x14ac:dyDescent="0.35">
      <c r="A39" s="1">
        <v>430</v>
      </c>
      <c r="B39" t="s">
        <v>66</v>
      </c>
      <c r="C39" t="s">
        <v>66</v>
      </c>
      <c r="D39" t="s">
        <v>66</v>
      </c>
      <c r="E39" t="s">
        <v>35</v>
      </c>
      <c r="F39" s="14">
        <v>25</v>
      </c>
      <c r="G39" s="15" t="s">
        <v>23</v>
      </c>
      <c r="H39" s="16">
        <f t="shared" si="2"/>
        <v>18.75</v>
      </c>
      <c r="I39" s="16">
        <f t="shared" si="3"/>
        <v>1</v>
      </c>
      <c r="J39" s="16">
        <f t="shared" si="4"/>
        <v>1</v>
      </c>
      <c r="K39" s="17"/>
      <c r="L39" s="18"/>
      <c r="M39" s="19"/>
      <c r="N39" s="19"/>
      <c r="O39" s="19"/>
      <c r="P39" s="20"/>
      <c r="Q39" s="20"/>
      <c r="R39" s="21"/>
    </row>
    <row r="40" spans="1:18" x14ac:dyDescent="0.35">
      <c r="A40" s="1">
        <v>14</v>
      </c>
      <c r="B40" t="s">
        <v>67</v>
      </c>
      <c r="C40" t="s">
        <v>67</v>
      </c>
      <c r="D40" t="s">
        <v>67</v>
      </c>
      <c r="E40" t="s">
        <v>67</v>
      </c>
      <c r="F40" s="14">
        <v>0</v>
      </c>
      <c r="G40" s="15" t="s">
        <v>17</v>
      </c>
      <c r="H40" s="16">
        <f t="shared" si="2"/>
        <v>0</v>
      </c>
      <c r="I40" s="16">
        <f t="shared" si="3"/>
        <v>0</v>
      </c>
      <c r="J40" s="16">
        <f t="shared" si="4"/>
        <v>0</v>
      </c>
      <c r="K40" s="17"/>
      <c r="L40" s="18"/>
      <c r="M40" s="19"/>
      <c r="N40" s="19"/>
      <c r="O40" s="19"/>
      <c r="P40" s="20"/>
      <c r="Q40" s="20"/>
      <c r="R40" s="21"/>
    </row>
    <row r="41" spans="1:18" x14ac:dyDescent="0.35">
      <c r="A41" s="1">
        <v>207</v>
      </c>
      <c r="B41" t="s">
        <v>67</v>
      </c>
      <c r="C41" t="s">
        <v>66</v>
      </c>
      <c r="D41" t="s">
        <v>67</v>
      </c>
      <c r="E41" t="s">
        <v>67</v>
      </c>
      <c r="F41" s="14">
        <v>10</v>
      </c>
      <c r="G41" s="15" t="s">
        <v>19</v>
      </c>
      <c r="H41" s="16">
        <f t="shared" si="2"/>
        <v>2.5</v>
      </c>
      <c r="I41" s="16">
        <f t="shared" si="3"/>
        <v>0</v>
      </c>
      <c r="J41" s="16">
        <f t="shared" si="4"/>
        <v>0</v>
      </c>
      <c r="K41" s="17" t="s">
        <v>37</v>
      </c>
      <c r="L41" s="18"/>
      <c r="M41" s="19"/>
      <c r="N41" s="19"/>
      <c r="O41" s="19"/>
      <c r="P41" s="20"/>
      <c r="Q41" s="20"/>
      <c r="R41" s="21"/>
    </row>
    <row r="42" spans="1:18" x14ac:dyDescent="0.35">
      <c r="A42" s="1">
        <v>387</v>
      </c>
      <c r="B42" t="s">
        <v>67</v>
      </c>
      <c r="C42" t="s">
        <v>67</v>
      </c>
      <c r="D42" t="s">
        <v>67</v>
      </c>
      <c r="E42" t="s">
        <v>67</v>
      </c>
      <c r="F42" s="14">
        <v>0</v>
      </c>
      <c r="G42" s="15" t="s">
        <v>17</v>
      </c>
      <c r="H42" s="16">
        <f t="shared" si="2"/>
        <v>0</v>
      </c>
      <c r="I42" s="16">
        <f t="shared" si="3"/>
        <v>0</v>
      </c>
      <c r="J42" s="16">
        <f t="shared" si="4"/>
        <v>0</v>
      </c>
      <c r="K42" s="17"/>
      <c r="L42" s="18"/>
      <c r="M42" s="19"/>
      <c r="N42" s="19"/>
      <c r="O42" s="19"/>
      <c r="P42" s="20"/>
      <c r="Q42" s="20"/>
      <c r="R42" s="21"/>
    </row>
    <row r="43" spans="1:18" x14ac:dyDescent="0.35">
      <c r="A43" s="1">
        <v>93</v>
      </c>
      <c r="B43" t="s">
        <v>67</v>
      </c>
      <c r="C43" t="s">
        <v>66</v>
      </c>
      <c r="D43" t="s">
        <v>67</v>
      </c>
      <c r="E43" t="s">
        <v>68</v>
      </c>
      <c r="F43" s="14">
        <v>10</v>
      </c>
      <c r="G43" s="15" t="s">
        <v>22</v>
      </c>
      <c r="H43" s="16">
        <f t="shared" si="2"/>
        <v>5</v>
      </c>
      <c r="I43" s="16">
        <f t="shared" si="3"/>
        <v>0</v>
      </c>
      <c r="J43" s="16">
        <f t="shared" si="4"/>
        <v>1</v>
      </c>
      <c r="K43" s="17"/>
      <c r="L43" s="18"/>
      <c r="M43" s="19"/>
      <c r="N43" s="19"/>
      <c r="O43" s="19"/>
      <c r="P43" s="20"/>
      <c r="Q43" s="20"/>
      <c r="R43" s="21"/>
    </row>
    <row r="44" spans="1:18" x14ac:dyDescent="0.35">
      <c r="A44" s="1">
        <v>485</v>
      </c>
      <c r="B44" t="s">
        <v>67</v>
      </c>
      <c r="C44" t="s">
        <v>67</v>
      </c>
      <c r="D44" t="s">
        <v>67</v>
      </c>
      <c r="E44" t="s">
        <v>67</v>
      </c>
      <c r="F44" s="14">
        <v>0</v>
      </c>
      <c r="G44" s="15" t="s">
        <v>17</v>
      </c>
      <c r="H44" s="16">
        <f t="shared" si="2"/>
        <v>0</v>
      </c>
      <c r="I44" s="16">
        <f t="shared" si="3"/>
        <v>0</v>
      </c>
      <c r="J44" s="16">
        <f t="shared" si="4"/>
        <v>0</v>
      </c>
      <c r="K44" s="17"/>
      <c r="L44" s="18"/>
      <c r="M44" s="19"/>
      <c r="N44" s="19"/>
      <c r="O44" s="19"/>
      <c r="P44" s="20"/>
      <c r="Q44" s="20"/>
      <c r="R44" s="21"/>
    </row>
    <row r="45" spans="1:18" x14ac:dyDescent="0.35">
      <c r="A45" s="1">
        <v>730</v>
      </c>
      <c r="B45" t="s">
        <v>67</v>
      </c>
      <c r="C45" t="s">
        <v>67</v>
      </c>
      <c r="D45" t="s">
        <v>67</v>
      </c>
      <c r="E45" t="s">
        <v>67</v>
      </c>
      <c r="F45" s="14">
        <v>0</v>
      </c>
      <c r="G45" s="15" t="s">
        <v>17</v>
      </c>
      <c r="H45" s="16">
        <f t="shared" si="2"/>
        <v>0</v>
      </c>
      <c r="I45" s="16">
        <f t="shared" si="3"/>
        <v>0</v>
      </c>
      <c r="J45" s="16">
        <f t="shared" si="4"/>
        <v>0</v>
      </c>
      <c r="K45" s="17"/>
      <c r="L45" s="18"/>
      <c r="M45" s="19"/>
      <c r="N45" s="19"/>
      <c r="O45" s="19"/>
      <c r="P45" s="20"/>
      <c r="Q45" s="20"/>
      <c r="R45" s="21"/>
    </row>
    <row r="46" spans="1:18" x14ac:dyDescent="0.35">
      <c r="A46" s="1">
        <v>209</v>
      </c>
      <c r="B46" t="s">
        <v>66</v>
      </c>
      <c r="C46" t="s">
        <v>66</v>
      </c>
      <c r="D46" t="s">
        <v>67</v>
      </c>
      <c r="E46" t="s">
        <v>68</v>
      </c>
      <c r="F46" s="14">
        <v>15</v>
      </c>
      <c r="G46" s="15" t="s">
        <v>22</v>
      </c>
      <c r="H46" s="16">
        <f t="shared" si="2"/>
        <v>7.5</v>
      </c>
      <c r="I46" s="16">
        <f t="shared" si="3"/>
        <v>0</v>
      </c>
      <c r="J46" s="16">
        <f t="shared" si="4"/>
        <v>1</v>
      </c>
      <c r="K46" s="17"/>
      <c r="L46" s="18"/>
      <c r="M46" s="19"/>
      <c r="N46" s="19"/>
      <c r="O46" s="19"/>
      <c r="P46" s="20"/>
      <c r="Q46" s="20"/>
      <c r="R46" s="21"/>
    </row>
    <row r="47" spans="1:18" x14ac:dyDescent="0.35">
      <c r="A47" s="1">
        <v>595</v>
      </c>
      <c r="B47" t="s">
        <v>67</v>
      </c>
      <c r="C47" t="s">
        <v>67</v>
      </c>
      <c r="D47" t="s">
        <v>67</v>
      </c>
      <c r="E47" t="s">
        <v>67</v>
      </c>
      <c r="F47" s="14">
        <v>0</v>
      </c>
      <c r="G47" s="15" t="s">
        <v>17</v>
      </c>
      <c r="H47" s="16">
        <f t="shared" si="2"/>
        <v>0</v>
      </c>
      <c r="I47" s="16">
        <f t="shared" si="3"/>
        <v>0</v>
      </c>
      <c r="J47" s="16">
        <f t="shared" si="4"/>
        <v>0</v>
      </c>
      <c r="K47" s="17"/>
      <c r="L47" s="18"/>
      <c r="M47" s="19"/>
      <c r="N47" s="19"/>
      <c r="O47" s="19"/>
      <c r="P47" s="20"/>
      <c r="Q47" s="20"/>
      <c r="R47" s="21"/>
    </row>
    <row r="48" spans="1:18" x14ac:dyDescent="0.35">
      <c r="A48" s="1">
        <v>426</v>
      </c>
      <c r="B48" t="s">
        <v>66</v>
      </c>
      <c r="C48" t="s">
        <v>66</v>
      </c>
      <c r="D48" t="s">
        <v>67</v>
      </c>
      <c r="E48" t="s">
        <v>20</v>
      </c>
      <c r="F48" s="14">
        <v>30</v>
      </c>
      <c r="G48" s="15" t="s">
        <v>25</v>
      </c>
      <c r="H48" s="16">
        <f t="shared" si="2"/>
        <v>26.25</v>
      </c>
      <c r="I48" s="16">
        <f t="shared" si="3"/>
        <v>1</v>
      </c>
      <c r="J48" s="16">
        <f t="shared" si="4"/>
        <v>1</v>
      </c>
      <c r="K48" s="17"/>
      <c r="L48" s="18"/>
      <c r="M48" s="19"/>
      <c r="N48" s="19"/>
      <c r="O48" s="19"/>
      <c r="P48" s="20"/>
      <c r="Q48" s="20"/>
      <c r="R48" s="21"/>
    </row>
    <row r="49" spans="1:18" x14ac:dyDescent="0.35">
      <c r="A49" s="1">
        <v>540</v>
      </c>
      <c r="B49" t="s">
        <v>67</v>
      </c>
      <c r="C49" t="s">
        <v>67</v>
      </c>
      <c r="D49" t="s">
        <v>67</v>
      </c>
      <c r="E49" t="s">
        <v>67</v>
      </c>
      <c r="F49" s="14">
        <v>0</v>
      </c>
      <c r="G49" s="15" t="s">
        <v>17</v>
      </c>
      <c r="H49" s="16">
        <f t="shared" si="2"/>
        <v>0</v>
      </c>
      <c r="I49" s="16">
        <f t="shared" si="3"/>
        <v>0</v>
      </c>
      <c r="J49" s="16">
        <f t="shared" si="4"/>
        <v>0</v>
      </c>
      <c r="K49" s="17"/>
      <c r="L49" s="18"/>
      <c r="M49" s="19"/>
      <c r="N49" s="19"/>
      <c r="O49" s="19"/>
      <c r="P49" s="20"/>
      <c r="Q49" s="20"/>
      <c r="R49" s="21"/>
    </row>
    <row r="50" spans="1:18" x14ac:dyDescent="0.35">
      <c r="A50" s="1">
        <v>736</v>
      </c>
      <c r="B50" t="s">
        <v>67</v>
      </c>
      <c r="C50" t="s">
        <v>67</v>
      </c>
      <c r="D50" t="s">
        <v>67</v>
      </c>
      <c r="E50" t="s">
        <v>67</v>
      </c>
      <c r="F50" s="14">
        <v>0</v>
      </c>
      <c r="G50" s="15" t="s">
        <v>17</v>
      </c>
      <c r="H50" s="16">
        <f t="shared" si="2"/>
        <v>0</v>
      </c>
      <c r="I50" s="16">
        <f t="shared" si="3"/>
        <v>0</v>
      </c>
      <c r="J50" s="16">
        <f t="shared" si="4"/>
        <v>0</v>
      </c>
      <c r="K50" s="17"/>
      <c r="L50" s="18"/>
      <c r="M50" s="19"/>
      <c r="N50" s="19"/>
      <c r="O50" s="19"/>
      <c r="P50" s="20"/>
      <c r="Q50" s="20"/>
      <c r="R50" s="21"/>
    </row>
    <row r="51" spans="1:18" x14ac:dyDescent="0.35">
      <c r="A51" s="1">
        <v>36</v>
      </c>
      <c r="B51" t="s">
        <v>67</v>
      </c>
      <c r="C51" t="s">
        <v>66</v>
      </c>
      <c r="D51" t="s">
        <v>67</v>
      </c>
      <c r="E51" t="s">
        <v>67</v>
      </c>
      <c r="F51" s="14">
        <v>5</v>
      </c>
      <c r="G51" s="15" t="s">
        <v>19</v>
      </c>
      <c r="H51" s="16">
        <f t="shared" si="2"/>
        <v>1.25</v>
      </c>
      <c r="I51" s="16">
        <f t="shared" si="3"/>
        <v>0</v>
      </c>
      <c r="J51" s="16">
        <f t="shared" si="4"/>
        <v>0</v>
      </c>
      <c r="K51" s="17"/>
      <c r="L51" s="18"/>
      <c r="M51" s="19"/>
      <c r="N51" s="19"/>
      <c r="O51" s="19"/>
      <c r="P51" s="20"/>
      <c r="Q51" s="20"/>
      <c r="R51" s="21"/>
    </row>
    <row r="52" spans="1:18" x14ac:dyDescent="0.35">
      <c r="A52" s="1">
        <v>591</v>
      </c>
      <c r="B52" t="s">
        <v>66</v>
      </c>
      <c r="C52" t="s">
        <v>67</v>
      </c>
      <c r="D52" t="s">
        <v>67</v>
      </c>
      <c r="E52" t="s">
        <v>67</v>
      </c>
      <c r="F52" s="14">
        <v>5</v>
      </c>
      <c r="G52" s="15" t="s">
        <v>19</v>
      </c>
      <c r="H52" s="16">
        <f t="shared" si="2"/>
        <v>1.25</v>
      </c>
      <c r="I52" s="16">
        <f t="shared" si="3"/>
        <v>0</v>
      </c>
      <c r="J52" s="16">
        <f t="shared" si="4"/>
        <v>0</v>
      </c>
      <c r="K52" s="17"/>
      <c r="L52" s="18"/>
      <c r="M52" s="19"/>
      <c r="N52" s="19"/>
      <c r="O52" s="19"/>
      <c r="P52" s="20"/>
      <c r="Q52" s="20"/>
      <c r="R52" s="21"/>
    </row>
    <row r="53" spans="1:18" x14ac:dyDescent="0.35">
      <c r="A53" s="1">
        <v>462</v>
      </c>
      <c r="B53" t="s">
        <v>67</v>
      </c>
      <c r="C53" t="s">
        <v>67</v>
      </c>
      <c r="D53" t="s">
        <v>66</v>
      </c>
      <c r="E53" t="s">
        <v>67</v>
      </c>
      <c r="F53" s="14">
        <v>10</v>
      </c>
      <c r="G53" s="15" t="s">
        <v>19</v>
      </c>
      <c r="H53" s="16">
        <f t="shared" si="2"/>
        <v>2.5</v>
      </c>
      <c r="I53" s="16">
        <f t="shared" si="3"/>
        <v>0</v>
      </c>
      <c r="J53" s="16">
        <f t="shared" si="4"/>
        <v>0</v>
      </c>
      <c r="K53" s="17"/>
      <c r="L53" s="18"/>
      <c r="M53" s="19"/>
      <c r="N53" s="19"/>
      <c r="O53" s="19"/>
      <c r="P53" s="20"/>
      <c r="Q53" s="20"/>
      <c r="R53" s="21"/>
    </row>
    <row r="54" spans="1:18" x14ac:dyDescent="0.35">
      <c r="A54" s="1">
        <v>484</v>
      </c>
      <c r="B54" t="s">
        <v>67</v>
      </c>
      <c r="C54" t="s">
        <v>66</v>
      </c>
      <c r="D54" t="s">
        <v>67</v>
      </c>
      <c r="E54" t="s">
        <v>67</v>
      </c>
      <c r="F54" s="14">
        <v>5</v>
      </c>
      <c r="G54" s="15" t="s">
        <v>38</v>
      </c>
      <c r="H54" s="16">
        <f t="shared" si="2"/>
        <v>1.25</v>
      </c>
      <c r="I54" s="16">
        <f t="shared" si="3"/>
        <v>0</v>
      </c>
      <c r="J54" s="16">
        <f t="shared" si="4"/>
        <v>0</v>
      </c>
      <c r="K54" s="17"/>
      <c r="L54" s="18"/>
      <c r="M54" s="19"/>
      <c r="N54" s="19"/>
      <c r="O54" s="19"/>
      <c r="P54" s="20"/>
      <c r="Q54" s="20"/>
      <c r="R54" s="21"/>
    </row>
    <row r="55" spans="1:18" x14ac:dyDescent="0.35">
      <c r="A55" s="1">
        <v>54</v>
      </c>
      <c r="B55" t="s">
        <v>66</v>
      </c>
      <c r="C55" t="s">
        <v>66</v>
      </c>
      <c r="D55" t="s">
        <v>67</v>
      </c>
      <c r="E55" t="s">
        <v>67</v>
      </c>
      <c r="F55" s="14">
        <v>5</v>
      </c>
      <c r="G55" s="15" t="s">
        <v>38</v>
      </c>
      <c r="H55" s="16">
        <f t="shared" si="2"/>
        <v>1.25</v>
      </c>
      <c r="I55" s="16">
        <f t="shared" si="3"/>
        <v>0</v>
      </c>
      <c r="J55" s="16">
        <f t="shared" si="4"/>
        <v>0</v>
      </c>
      <c r="K55" s="17"/>
      <c r="L55" s="18"/>
      <c r="M55" s="19"/>
      <c r="N55" s="19"/>
      <c r="O55" s="19"/>
      <c r="P55" s="20"/>
      <c r="Q55" s="20"/>
      <c r="R55" s="21"/>
    </row>
    <row r="56" spans="1:18" x14ac:dyDescent="0.35">
      <c r="A56" s="1">
        <v>654</v>
      </c>
      <c r="B56" t="s">
        <v>67</v>
      </c>
      <c r="C56" t="s">
        <v>67</v>
      </c>
      <c r="D56" t="s">
        <v>67</v>
      </c>
      <c r="E56" t="s">
        <v>67</v>
      </c>
      <c r="F56" s="14">
        <v>0</v>
      </c>
      <c r="G56" s="15" t="s">
        <v>17</v>
      </c>
      <c r="H56" s="16">
        <f t="shared" si="2"/>
        <v>0</v>
      </c>
      <c r="I56" s="16">
        <f t="shared" si="3"/>
        <v>0</v>
      </c>
      <c r="J56" s="16">
        <f t="shared" si="4"/>
        <v>0</v>
      </c>
      <c r="K56" s="17"/>
      <c r="L56" s="18"/>
      <c r="M56" s="19"/>
      <c r="N56" s="19"/>
      <c r="O56" s="19"/>
      <c r="P56" s="20"/>
      <c r="Q56" s="20"/>
      <c r="R56" s="21"/>
    </row>
    <row r="57" spans="1:18" x14ac:dyDescent="0.35">
      <c r="A57" s="1">
        <v>692</v>
      </c>
      <c r="B57" t="s">
        <v>67</v>
      </c>
      <c r="C57" t="s">
        <v>67</v>
      </c>
      <c r="D57" t="s">
        <v>67</v>
      </c>
      <c r="E57" t="s">
        <v>67</v>
      </c>
      <c r="F57" s="14">
        <v>0</v>
      </c>
      <c r="G57" s="15" t="s">
        <v>17</v>
      </c>
      <c r="H57" s="16">
        <f t="shared" si="2"/>
        <v>0</v>
      </c>
      <c r="I57" s="16">
        <f t="shared" si="3"/>
        <v>0</v>
      </c>
      <c r="J57" s="16">
        <f t="shared" si="4"/>
        <v>0</v>
      </c>
      <c r="K57" s="17"/>
      <c r="L57" s="18"/>
      <c r="M57" s="19"/>
      <c r="N57" s="19"/>
      <c r="O57" s="19"/>
      <c r="P57" s="20"/>
      <c r="Q57" s="20"/>
      <c r="R57" s="21"/>
    </row>
    <row r="58" spans="1:18" x14ac:dyDescent="0.35">
      <c r="A58" s="1">
        <v>740</v>
      </c>
      <c r="B58" t="s">
        <v>66</v>
      </c>
      <c r="C58" t="s">
        <v>66</v>
      </c>
      <c r="D58" t="s">
        <v>67</v>
      </c>
      <c r="E58" t="s">
        <v>68</v>
      </c>
      <c r="F58" s="14">
        <v>10</v>
      </c>
      <c r="G58" s="15" t="s">
        <v>22</v>
      </c>
      <c r="H58" s="16">
        <f t="shared" si="2"/>
        <v>5</v>
      </c>
      <c r="I58" s="16">
        <f t="shared" si="3"/>
        <v>0</v>
      </c>
      <c r="J58" s="16">
        <f t="shared" si="4"/>
        <v>1</v>
      </c>
      <c r="K58" s="17" t="s">
        <v>39</v>
      </c>
      <c r="L58" s="18"/>
      <c r="M58" s="19"/>
      <c r="N58" s="19"/>
      <c r="O58" s="19"/>
      <c r="P58" s="20"/>
      <c r="Q58" s="20"/>
      <c r="R58" s="21"/>
    </row>
    <row r="59" spans="1:18" x14ac:dyDescent="0.35">
      <c r="A59" s="1">
        <v>557</v>
      </c>
      <c r="B59" t="s">
        <v>66</v>
      </c>
      <c r="C59" t="s">
        <v>67</v>
      </c>
      <c r="D59" t="s">
        <v>67</v>
      </c>
      <c r="E59" t="s">
        <v>67</v>
      </c>
      <c r="F59" s="14">
        <v>5</v>
      </c>
      <c r="G59" s="15" t="s">
        <v>19</v>
      </c>
      <c r="H59" s="16">
        <f t="shared" si="2"/>
        <v>1.25</v>
      </c>
      <c r="I59" s="16">
        <f t="shared" si="3"/>
        <v>0</v>
      </c>
      <c r="J59" s="16">
        <f t="shared" si="4"/>
        <v>0</v>
      </c>
      <c r="K59" s="17"/>
      <c r="L59" s="18"/>
      <c r="M59" s="19"/>
      <c r="N59" s="19"/>
      <c r="O59" s="19"/>
      <c r="P59" s="20"/>
      <c r="Q59" s="20"/>
      <c r="R59" s="21"/>
    </row>
    <row r="60" spans="1:18" x14ac:dyDescent="0.35">
      <c r="A60" s="1">
        <v>521</v>
      </c>
      <c r="B60" t="s">
        <v>67</v>
      </c>
      <c r="C60" t="s">
        <v>67</v>
      </c>
      <c r="D60" t="s">
        <v>67</v>
      </c>
      <c r="E60" t="s">
        <v>67</v>
      </c>
      <c r="F60" s="14">
        <v>0</v>
      </c>
      <c r="G60" s="15" t="s">
        <v>17</v>
      </c>
      <c r="H60" s="16">
        <f t="shared" si="2"/>
        <v>0</v>
      </c>
      <c r="I60" s="16">
        <f t="shared" si="3"/>
        <v>0</v>
      </c>
      <c r="J60" s="16">
        <f t="shared" si="4"/>
        <v>0</v>
      </c>
      <c r="K60" s="17" t="s">
        <v>40</v>
      </c>
      <c r="L60" s="18"/>
      <c r="M60" s="19"/>
      <c r="N60" s="19"/>
      <c r="O60" s="19"/>
      <c r="P60" s="20"/>
      <c r="Q60" s="20"/>
      <c r="R60" s="21"/>
    </row>
    <row r="61" spans="1:18" x14ac:dyDescent="0.35">
      <c r="A61" s="1">
        <v>331</v>
      </c>
      <c r="B61" t="s">
        <v>67</v>
      </c>
      <c r="C61" t="s">
        <v>67</v>
      </c>
      <c r="D61" t="s">
        <v>67</v>
      </c>
      <c r="E61" t="s">
        <v>20</v>
      </c>
      <c r="F61" s="14">
        <v>20</v>
      </c>
      <c r="G61" s="15" t="s">
        <v>21</v>
      </c>
      <c r="H61" s="16">
        <f t="shared" si="2"/>
        <v>20</v>
      </c>
      <c r="I61" s="16">
        <f t="shared" si="3"/>
        <v>1</v>
      </c>
      <c r="J61" s="16">
        <f t="shared" si="4"/>
        <v>1</v>
      </c>
      <c r="K61" s="17"/>
      <c r="L61" s="18"/>
      <c r="M61" s="19"/>
      <c r="N61" s="19"/>
      <c r="O61" s="19"/>
      <c r="P61" s="20"/>
      <c r="Q61" s="20"/>
      <c r="R61" s="21"/>
    </row>
    <row r="62" spans="1:18" x14ac:dyDescent="0.35">
      <c r="A62" s="1">
        <v>206</v>
      </c>
      <c r="B62" t="s">
        <v>66</v>
      </c>
      <c r="C62" t="s">
        <v>66</v>
      </c>
      <c r="D62" t="s">
        <v>67</v>
      </c>
      <c r="E62" t="s">
        <v>20</v>
      </c>
      <c r="F62" s="14">
        <v>40</v>
      </c>
      <c r="G62" s="15" t="s">
        <v>21</v>
      </c>
      <c r="H62" s="16">
        <f t="shared" si="2"/>
        <v>40</v>
      </c>
      <c r="I62" s="16">
        <f t="shared" si="3"/>
        <v>1</v>
      </c>
      <c r="J62" s="16">
        <f t="shared" si="4"/>
        <v>1</v>
      </c>
      <c r="K62" s="17" t="s">
        <v>41</v>
      </c>
      <c r="L62" s="18"/>
      <c r="M62" s="19"/>
      <c r="N62" s="19"/>
      <c r="O62" s="19"/>
      <c r="P62" s="20"/>
      <c r="Q62" s="20"/>
      <c r="R62" s="21"/>
    </row>
    <row r="63" spans="1:18" x14ac:dyDescent="0.35">
      <c r="A63" s="1">
        <v>744</v>
      </c>
      <c r="B63" t="s">
        <v>67</v>
      </c>
      <c r="C63" t="s">
        <v>66</v>
      </c>
      <c r="D63" t="s">
        <v>67</v>
      </c>
      <c r="E63" t="s">
        <v>20</v>
      </c>
      <c r="F63" s="14">
        <v>50</v>
      </c>
      <c r="G63" s="15" t="s">
        <v>30</v>
      </c>
      <c r="H63" s="16">
        <f t="shared" si="2"/>
        <v>43.75</v>
      </c>
      <c r="I63" s="16">
        <f t="shared" si="3"/>
        <v>1</v>
      </c>
      <c r="J63" s="16">
        <f t="shared" si="4"/>
        <v>1</v>
      </c>
      <c r="K63" s="17"/>
      <c r="L63" s="18"/>
      <c r="M63" s="19"/>
      <c r="N63" s="19"/>
      <c r="O63" s="19"/>
      <c r="P63" s="20"/>
      <c r="Q63" s="20"/>
      <c r="R63" s="21"/>
    </row>
    <row r="64" spans="1:18" x14ac:dyDescent="0.35">
      <c r="A64" s="1">
        <v>372</v>
      </c>
      <c r="B64" t="s">
        <v>67</v>
      </c>
      <c r="C64" t="s">
        <v>66</v>
      </c>
      <c r="D64" t="s">
        <v>67</v>
      </c>
      <c r="E64" t="s">
        <v>35</v>
      </c>
      <c r="F64" s="14">
        <v>10</v>
      </c>
      <c r="G64" s="15" t="s">
        <v>23</v>
      </c>
      <c r="H64" s="16">
        <f t="shared" si="2"/>
        <v>7.5</v>
      </c>
      <c r="I64" s="16">
        <f t="shared" si="3"/>
        <v>1</v>
      </c>
      <c r="J64" s="16">
        <f t="shared" si="4"/>
        <v>1</v>
      </c>
      <c r="K64" s="17"/>
      <c r="L64" s="18"/>
      <c r="M64" s="19"/>
      <c r="N64" s="19"/>
      <c r="O64" s="19"/>
      <c r="P64" s="20"/>
      <c r="Q64" s="20"/>
      <c r="R64" s="21"/>
    </row>
    <row r="65" spans="1:18" x14ac:dyDescent="0.35">
      <c r="A65" s="1">
        <v>338</v>
      </c>
      <c r="B65" t="s">
        <v>67</v>
      </c>
      <c r="C65" t="s">
        <v>67</v>
      </c>
      <c r="D65" t="s">
        <v>67</v>
      </c>
      <c r="E65" t="s">
        <v>67</v>
      </c>
      <c r="F65" s="14">
        <v>0</v>
      </c>
      <c r="G65" s="15" t="s">
        <v>17</v>
      </c>
      <c r="H65" s="16">
        <f t="shared" si="2"/>
        <v>0</v>
      </c>
      <c r="I65" s="16">
        <f t="shared" si="3"/>
        <v>0</v>
      </c>
      <c r="J65" s="16">
        <f t="shared" si="4"/>
        <v>0</v>
      </c>
      <c r="K65" s="17"/>
      <c r="L65" s="18"/>
      <c r="M65" s="19"/>
      <c r="N65" s="19"/>
      <c r="O65" s="19"/>
      <c r="P65" s="20"/>
      <c r="Q65" s="20"/>
      <c r="R65" s="21"/>
    </row>
    <row r="66" spans="1:18" x14ac:dyDescent="0.35">
      <c r="A66" s="1">
        <v>600</v>
      </c>
      <c r="B66" t="s">
        <v>66</v>
      </c>
      <c r="C66" t="s">
        <v>67</v>
      </c>
      <c r="D66" t="s">
        <v>67</v>
      </c>
      <c r="E66" t="s">
        <v>67</v>
      </c>
      <c r="F66" s="14">
        <v>5</v>
      </c>
      <c r="G66" s="15" t="s">
        <v>19</v>
      </c>
      <c r="H66" s="16">
        <f t="shared" si="2"/>
        <v>1.25</v>
      </c>
      <c r="I66" s="16">
        <f t="shared" si="3"/>
        <v>0</v>
      </c>
      <c r="J66" s="16">
        <f t="shared" si="4"/>
        <v>0</v>
      </c>
      <c r="K66" s="17"/>
      <c r="L66" s="18"/>
      <c r="M66" s="19"/>
      <c r="N66" s="19"/>
      <c r="O66" s="19"/>
      <c r="P66" s="20"/>
      <c r="Q66" s="20"/>
      <c r="R66" s="21"/>
    </row>
    <row r="67" spans="1:18" x14ac:dyDescent="0.35">
      <c r="A67" s="1">
        <v>19</v>
      </c>
      <c r="B67" t="s">
        <v>67</v>
      </c>
      <c r="C67" t="s">
        <v>66</v>
      </c>
      <c r="D67" t="s">
        <v>67</v>
      </c>
      <c r="E67" t="s">
        <v>67</v>
      </c>
      <c r="F67" s="14">
        <v>25</v>
      </c>
      <c r="G67" s="15" t="s">
        <v>19</v>
      </c>
      <c r="H67" s="16">
        <f t="shared" si="2"/>
        <v>6.25</v>
      </c>
      <c r="I67" s="16">
        <f t="shared" si="3"/>
        <v>0</v>
      </c>
      <c r="J67" s="16">
        <f t="shared" si="4"/>
        <v>0</v>
      </c>
      <c r="K67" s="17"/>
      <c r="L67" s="18"/>
      <c r="M67" s="19"/>
      <c r="N67" s="19"/>
      <c r="O67" s="19"/>
      <c r="P67" s="20"/>
      <c r="Q67" s="20"/>
      <c r="R67" s="21"/>
    </row>
    <row r="68" spans="1:18" x14ac:dyDescent="0.35">
      <c r="A68" s="1">
        <v>142</v>
      </c>
      <c r="B68" t="s">
        <v>67</v>
      </c>
      <c r="C68" t="s">
        <v>66</v>
      </c>
      <c r="D68" t="s">
        <v>67</v>
      </c>
      <c r="E68" t="s">
        <v>35</v>
      </c>
      <c r="F68" s="14">
        <v>45</v>
      </c>
      <c r="G68" s="15" t="s">
        <v>23</v>
      </c>
      <c r="H68" s="16">
        <f t="shared" ref="H68:H131" si="5">INDEX(U:U, MATCH(G68, T:T, 0))*F68</f>
        <v>33.75</v>
      </c>
      <c r="I68" s="16">
        <f t="shared" ref="I68:I131" si="6">IF(COUNTIF($T$3:$T$6, G68) &gt; 0, 0, 1)</f>
        <v>1</v>
      </c>
      <c r="J68" s="16">
        <f t="shared" ref="J68:J131" si="7">IF(COUNTIF(T$3:T$5, G68) &gt; 0, 0, 1)</f>
        <v>1</v>
      </c>
      <c r="K68" s="17"/>
      <c r="L68" s="18"/>
      <c r="M68" s="19"/>
      <c r="N68" s="19"/>
      <c r="O68" s="19"/>
      <c r="P68" s="20"/>
      <c r="Q68" s="20"/>
      <c r="R68" s="21"/>
    </row>
    <row r="69" spans="1:18" x14ac:dyDescent="0.35">
      <c r="A69" s="1">
        <v>409</v>
      </c>
      <c r="B69" t="s">
        <v>66</v>
      </c>
      <c r="C69" t="s">
        <v>66</v>
      </c>
      <c r="D69" t="s">
        <v>67</v>
      </c>
      <c r="E69" t="s">
        <v>67</v>
      </c>
      <c r="F69" s="14">
        <v>5</v>
      </c>
      <c r="G69" s="15" t="s">
        <v>19</v>
      </c>
      <c r="H69" s="16">
        <f t="shared" si="5"/>
        <v>1.25</v>
      </c>
      <c r="I69" s="16">
        <f t="shared" si="6"/>
        <v>0</v>
      </c>
      <c r="J69" s="16">
        <f t="shared" si="7"/>
        <v>0</v>
      </c>
      <c r="K69" s="17"/>
      <c r="L69" s="18"/>
      <c r="M69" s="19"/>
      <c r="N69" s="19"/>
      <c r="O69" s="19"/>
      <c r="P69" s="20"/>
      <c r="Q69" s="20"/>
      <c r="R69" s="21"/>
    </row>
    <row r="70" spans="1:18" x14ac:dyDescent="0.35">
      <c r="A70" s="1">
        <v>446</v>
      </c>
      <c r="B70" t="s">
        <v>67</v>
      </c>
      <c r="C70" t="s">
        <v>67</v>
      </c>
      <c r="D70" t="s">
        <v>67</v>
      </c>
      <c r="E70" t="s">
        <v>67</v>
      </c>
      <c r="F70" s="14">
        <v>0</v>
      </c>
      <c r="G70" s="15" t="s">
        <v>17</v>
      </c>
      <c r="H70" s="16">
        <f t="shared" si="5"/>
        <v>0</v>
      </c>
      <c r="I70" s="16">
        <f t="shared" si="6"/>
        <v>0</v>
      </c>
      <c r="J70" s="16">
        <f t="shared" si="7"/>
        <v>0</v>
      </c>
      <c r="K70" s="17"/>
      <c r="L70" s="18"/>
      <c r="M70" s="19"/>
      <c r="N70" s="19"/>
      <c r="O70" s="19"/>
      <c r="P70" s="20"/>
      <c r="Q70" s="20"/>
      <c r="R70" s="21"/>
    </row>
    <row r="71" spans="1:18" x14ac:dyDescent="0.35">
      <c r="A71" s="1">
        <v>414</v>
      </c>
      <c r="B71" t="s">
        <v>67</v>
      </c>
      <c r="C71" t="s">
        <v>66</v>
      </c>
      <c r="D71" t="s">
        <v>66</v>
      </c>
      <c r="E71" t="s">
        <v>20</v>
      </c>
      <c r="F71" s="14">
        <v>50</v>
      </c>
      <c r="G71" s="15" t="s">
        <v>25</v>
      </c>
      <c r="H71" s="16">
        <f t="shared" si="5"/>
        <v>43.75</v>
      </c>
      <c r="I71" s="16">
        <f t="shared" si="6"/>
        <v>1</v>
      </c>
      <c r="J71" s="16">
        <f t="shared" si="7"/>
        <v>1</v>
      </c>
      <c r="K71" s="17"/>
      <c r="L71" s="18"/>
      <c r="M71" s="19"/>
      <c r="N71" s="19"/>
      <c r="O71" s="19"/>
      <c r="P71" s="20"/>
      <c r="Q71" s="20"/>
      <c r="R71" s="21"/>
    </row>
    <row r="72" spans="1:18" x14ac:dyDescent="0.35">
      <c r="A72" s="1">
        <v>182</v>
      </c>
      <c r="B72" t="s">
        <v>66</v>
      </c>
      <c r="C72" t="s">
        <v>66</v>
      </c>
      <c r="D72" t="s">
        <v>66</v>
      </c>
      <c r="E72" t="s">
        <v>68</v>
      </c>
      <c r="F72" s="14">
        <v>25</v>
      </c>
      <c r="G72" s="15" t="s">
        <v>22</v>
      </c>
      <c r="H72" s="16">
        <f t="shared" si="5"/>
        <v>12.5</v>
      </c>
      <c r="I72" s="16">
        <f t="shared" si="6"/>
        <v>0</v>
      </c>
      <c r="J72" s="16">
        <f t="shared" si="7"/>
        <v>1</v>
      </c>
      <c r="K72" s="17" t="s">
        <v>42</v>
      </c>
      <c r="L72" s="18"/>
      <c r="M72" s="19"/>
      <c r="N72" s="19"/>
      <c r="O72" s="19"/>
      <c r="P72" s="20"/>
      <c r="Q72" s="20"/>
      <c r="R72" s="21"/>
    </row>
    <row r="73" spans="1:18" x14ac:dyDescent="0.35">
      <c r="A73" s="1">
        <v>489</v>
      </c>
      <c r="B73" t="s">
        <v>67</v>
      </c>
      <c r="C73" t="s">
        <v>66</v>
      </c>
      <c r="D73" t="s">
        <v>67</v>
      </c>
      <c r="E73" t="s">
        <v>67</v>
      </c>
      <c r="F73" s="14">
        <v>5</v>
      </c>
      <c r="G73" s="15" t="s">
        <v>38</v>
      </c>
      <c r="H73" s="16">
        <f t="shared" si="5"/>
        <v>1.25</v>
      </c>
      <c r="I73" s="16">
        <f t="shared" si="6"/>
        <v>0</v>
      </c>
      <c r="J73" s="16">
        <f t="shared" si="7"/>
        <v>0</v>
      </c>
      <c r="K73" s="17"/>
      <c r="L73" s="18"/>
      <c r="M73" s="19"/>
      <c r="N73" s="19"/>
      <c r="O73" s="19"/>
      <c r="P73" s="20"/>
      <c r="Q73" s="20"/>
      <c r="R73" s="21"/>
    </row>
    <row r="74" spans="1:18" x14ac:dyDescent="0.35">
      <c r="A74" s="1">
        <v>588</v>
      </c>
      <c r="B74" t="s">
        <v>67</v>
      </c>
      <c r="C74" t="s">
        <v>67</v>
      </c>
      <c r="D74" t="s">
        <v>67</v>
      </c>
      <c r="E74" t="s">
        <v>67</v>
      </c>
      <c r="F74" s="14">
        <v>0</v>
      </c>
      <c r="G74" s="15" t="s">
        <v>17</v>
      </c>
      <c r="H74" s="16">
        <f t="shared" si="5"/>
        <v>0</v>
      </c>
      <c r="I74" s="16">
        <f t="shared" si="6"/>
        <v>0</v>
      </c>
      <c r="J74" s="16">
        <f t="shared" si="7"/>
        <v>0</v>
      </c>
      <c r="K74" s="17"/>
      <c r="L74" s="18"/>
      <c r="M74" s="19"/>
      <c r="N74" s="19"/>
      <c r="O74" s="19"/>
      <c r="P74" s="20"/>
      <c r="Q74" s="20"/>
      <c r="R74" s="21"/>
    </row>
    <row r="75" spans="1:18" x14ac:dyDescent="0.35">
      <c r="A75" s="1">
        <v>732</v>
      </c>
      <c r="B75" t="s">
        <v>67</v>
      </c>
      <c r="C75" t="s">
        <v>67</v>
      </c>
      <c r="D75" t="s">
        <v>67</v>
      </c>
      <c r="E75" t="s">
        <v>35</v>
      </c>
      <c r="F75" s="14">
        <v>40</v>
      </c>
      <c r="G75" s="15" t="s">
        <v>21</v>
      </c>
      <c r="H75" s="16">
        <f t="shared" si="5"/>
        <v>40</v>
      </c>
      <c r="I75" s="16">
        <f t="shared" si="6"/>
        <v>1</v>
      </c>
      <c r="J75" s="16">
        <f t="shared" si="7"/>
        <v>1</v>
      </c>
      <c r="K75" s="17" t="s">
        <v>43</v>
      </c>
      <c r="L75" s="18"/>
      <c r="M75" s="19"/>
      <c r="N75" s="19"/>
      <c r="O75" s="19"/>
      <c r="P75" s="20"/>
      <c r="Q75" s="20"/>
      <c r="R75" s="21"/>
    </row>
    <row r="76" spans="1:18" x14ac:dyDescent="0.35">
      <c r="A76" s="1">
        <v>639</v>
      </c>
      <c r="B76" t="s">
        <v>67</v>
      </c>
      <c r="C76" t="s">
        <v>66</v>
      </c>
      <c r="D76" t="s">
        <v>67</v>
      </c>
      <c r="E76" t="s">
        <v>35</v>
      </c>
      <c r="F76" s="14">
        <v>55</v>
      </c>
      <c r="G76" s="15" t="s">
        <v>23</v>
      </c>
      <c r="H76" s="16">
        <f t="shared" si="5"/>
        <v>41.25</v>
      </c>
      <c r="I76" s="16">
        <f t="shared" si="6"/>
        <v>1</v>
      </c>
      <c r="J76" s="16">
        <f t="shared" si="7"/>
        <v>1</v>
      </c>
      <c r="K76" s="17"/>
      <c r="L76" s="18"/>
      <c r="M76" s="19"/>
      <c r="N76" s="19"/>
      <c r="O76" s="19"/>
      <c r="P76" s="20"/>
      <c r="Q76" s="20"/>
      <c r="R76" s="21"/>
    </row>
    <row r="77" spans="1:18" x14ac:dyDescent="0.35">
      <c r="A77" s="1">
        <v>620</v>
      </c>
      <c r="B77" t="s">
        <v>67</v>
      </c>
      <c r="C77" t="s">
        <v>66</v>
      </c>
      <c r="D77" t="s">
        <v>67</v>
      </c>
      <c r="E77" t="s">
        <v>35</v>
      </c>
      <c r="F77" s="14">
        <v>75</v>
      </c>
      <c r="G77" s="15" t="s">
        <v>23</v>
      </c>
      <c r="H77" s="16">
        <f t="shared" si="5"/>
        <v>56.25</v>
      </c>
      <c r="I77" s="16">
        <f t="shared" si="6"/>
        <v>1</v>
      </c>
      <c r="J77" s="16">
        <f t="shared" si="7"/>
        <v>1</v>
      </c>
      <c r="K77" s="17" t="s">
        <v>44</v>
      </c>
      <c r="L77" s="18"/>
      <c r="M77" s="19"/>
      <c r="N77" s="19"/>
      <c r="O77" s="19"/>
      <c r="P77" s="20"/>
      <c r="Q77" s="20"/>
      <c r="R77" s="21"/>
    </row>
    <row r="78" spans="1:18" x14ac:dyDescent="0.35">
      <c r="A78" s="1">
        <v>205</v>
      </c>
      <c r="B78" s="15" t="s">
        <v>24</v>
      </c>
      <c r="C78" s="15" t="s">
        <v>24</v>
      </c>
      <c r="D78" s="15" t="s">
        <v>24</v>
      </c>
      <c r="E78" s="15" t="s">
        <v>24</v>
      </c>
      <c r="F78" s="15" t="s">
        <v>24</v>
      </c>
      <c r="G78" s="15" t="s">
        <v>24</v>
      </c>
      <c r="H78" s="16" t="e">
        <f t="shared" si="5"/>
        <v>#N/A</v>
      </c>
      <c r="I78" s="16">
        <f t="shared" si="6"/>
        <v>1</v>
      </c>
      <c r="J78" s="16">
        <f t="shared" si="7"/>
        <v>1</v>
      </c>
      <c r="K78" t="s">
        <v>45</v>
      </c>
      <c r="L78" s="18"/>
      <c r="M78" s="19"/>
      <c r="N78" s="19"/>
      <c r="O78" s="19"/>
      <c r="P78" s="20"/>
      <c r="Q78" s="20"/>
      <c r="R78" s="21"/>
    </row>
    <row r="79" spans="1:18" x14ac:dyDescent="0.35">
      <c r="A79" s="1">
        <v>260</v>
      </c>
      <c r="B79" t="s">
        <v>67</v>
      </c>
      <c r="C79" t="s">
        <v>66</v>
      </c>
      <c r="D79" t="s">
        <v>67</v>
      </c>
      <c r="E79" t="s">
        <v>67</v>
      </c>
      <c r="F79" s="14">
        <v>5</v>
      </c>
      <c r="G79" s="15" t="s">
        <v>19</v>
      </c>
      <c r="H79" s="16">
        <f t="shared" si="5"/>
        <v>1.25</v>
      </c>
      <c r="I79" s="16">
        <f t="shared" si="6"/>
        <v>0</v>
      </c>
      <c r="J79" s="16">
        <f t="shared" si="7"/>
        <v>0</v>
      </c>
      <c r="K79" s="17"/>
      <c r="L79" s="18"/>
      <c r="M79" s="19"/>
      <c r="N79" s="19"/>
      <c r="O79" s="19"/>
      <c r="P79" s="20"/>
      <c r="Q79" s="20"/>
      <c r="R79" s="21"/>
    </row>
    <row r="80" spans="1:18" x14ac:dyDescent="0.35">
      <c r="A80" s="1">
        <v>286</v>
      </c>
      <c r="B80" t="s">
        <v>66</v>
      </c>
      <c r="C80" t="s">
        <v>66</v>
      </c>
      <c r="D80" t="s">
        <v>67</v>
      </c>
      <c r="E80" t="s">
        <v>20</v>
      </c>
      <c r="F80" s="14">
        <v>90</v>
      </c>
      <c r="G80" s="15" t="s">
        <v>25</v>
      </c>
      <c r="H80" s="16">
        <f t="shared" si="5"/>
        <v>78.75</v>
      </c>
      <c r="I80" s="16">
        <f t="shared" si="6"/>
        <v>1</v>
      </c>
      <c r="J80" s="16">
        <f t="shared" si="7"/>
        <v>1</v>
      </c>
      <c r="K80" s="17"/>
      <c r="L80" s="18"/>
      <c r="M80" s="19"/>
      <c r="N80" s="19"/>
      <c r="O80" s="19"/>
      <c r="P80" s="20"/>
      <c r="Q80" s="20"/>
      <c r="R80" s="21"/>
    </row>
    <row r="81" spans="1:18" x14ac:dyDescent="0.35">
      <c r="A81" s="1">
        <v>539</v>
      </c>
      <c r="B81" t="s">
        <v>67</v>
      </c>
      <c r="C81" t="s">
        <v>67</v>
      </c>
      <c r="D81" t="s">
        <v>67</v>
      </c>
      <c r="E81" t="s">
        <v>67</v>
      </c>
      <c r="F81" s="14">
        <v>0</v>
      </c>
      <c r="G81" s="15" t="s">
        <v>17</v>
      </c>
      <c r="H81" s="16">
        <f t="shared" si="5"/>
        <v>0</v>
      </c>
      <c r="I81" s="16">
        <f t="shared" si="6"/>
        <v>0</v>
      </c>
      <c r="J81" s="16">
        <f t="shared" si="7"/>
        <v>0</v>
      </c>
      <c r="K81" s="17"/>
      <c r="L81" s="18"/>
      <c r="M81" s="19"/>
      <c r="N81" s="19"/>
      <c r="O81" s="19"/>
      <c r="P81" s="20"/>
      <c r="Q81" s="20"/>
      <c r="R81" s="21"/>
    </row>
    <row r="82" spans="1:18" x14ac:dyDescent="0.35">
      <c r="A82" s="1">
        <v>559</v>
      </c>
      <c r="B82" t="s">
        <v>66</v>
      </c>
      <c r="C82" t="s">
        <v>67</v>
      </c>
      <c r="D82" t="s">
        <v>67</v>
      </c>
      <c r="E82" t="s">
        <v>67</v>
      </c>
      <c r="F82" s="14">
        <v>5</v>
      </c>
      <c r="G82" s="15" t="s">
        <v>19</v>
      </c>
      <c r="H82" s="16">
        <f t="shared" si="5"/>
        <v>1.25</v>
      </c>
      <c r="I82" s="16">
        <f t="shared" si="6"/>
        <v>0</v>
      </c>
      <c r="J82" s="16">
        <f t="shared" si="7"/>
        <v>0</v>
      </c>
      <c r="K82" s="17"/>
      <c r="L82" s="18"/>
      <c r="M82" s="19"/>
      <c r="N82" s="19"/>
      <c r="O82" s="19"/>
      <c r="P82" s="20"/>
      <c r="Q82" s="20"/>
      <c r="R82" s="21"/>
    </row>
    <row r="83" spans="1:18" x14ac:dyDescent="0.35">
      <c r="A83" s="1">
        <v>637</v>
      </c>
      <c r="B83" t="s">
        <v>66</v>
      </c>
      <c r="C83" t="s">
        <v>66</v>
      </c>
      <c r="D83" t="s">
        <v>67</v>
      </c>
      <c r="E83" t="s">
        <v>68</v>
      </c>
      <c r="F83" s="14">
        <v>25</v>
      </c>
      <c r="G83" s="15" t="s">
        <v>22</v>
      </c>
      <c r="H83" s="16">
        <f t="shared" si="5"/>
        <v>12.5</v>
      </c>
      <c r="I83" s="16">
        <f t="shared" si="6"/>
        <v>0</v>
      </c>
      <c r="J83" s="16">
        <f t="shared" si="7"/>
        <v>1</v>
      </c>
      <c r="K83" s="17"/>
      <c r="L83" s="18"/>
      <c r="M83" s="19"/>
      <c r="N83" s="19"/>
      <c r="O83" s="19"/>
      <c r="P83" s="20"/>
      <c r="Q83" s="20"/>
      <c r="R83" s="21"/>
    </row>
    <row r="84" spans="1:18" x14ac:dyDescent="0.35">
      <c r="A84" s="1">
        <v>655</v>
      </c>
      <c r="B84" t="s">
        <v>66</v>
      </c>
      <c r="C84" t="s">
        <v>66</v>
      </c>
      <c r="D84" t="s">
        <v>67</v>
      </c>
      <c r="E84" t="s">
        <v>20</v>
      </c>
      <c r="F84" s="14">
        <v>25</v>
      </c>
      <c r="G84" s="15" t="s">
        <v>25</v>
      </c>
      <c r="H84" s="16">
        <f t="shared" si="5"/>
        <v>21.875</v>
      </c>
      <c r="I84" s="16">
        <f t="shared" si="6"/>
        <v>1</v>
      </c>
      <c r="J84" s="16">
        <f t="shared" si="7"/>
        <v>1</v>
      </c>
      <c r="K84" s="17"/>
      <c r="L84" s="18"/>
      <c r="M84" s="19"/>
      <c r="N84" s="19"/>
      <c r="O84" s="19"/>
      <c r="P84" s="20"/>
      <c r="Q84" s="20"/>
      <c r="R84" s="21"/>
    </row>
    <row r="85" spans="1:18" x14ac:dyDescent="0.35">
      <c r="A85" s="1">
        <v>406</v>
      </c>
      <c r="B85" t="s">
        <v>66</v>
      </c>
      <c r="C85" t="s">
        <v>66</v>
      </c>
      <c r="D85" t="s">
        <v>67</v>
      </c>
      <c r="E85" t="s">
        <v>68</v>
      </c>
      <c r="F85" s="14">
        <v>75</v>
      </c>
      <c r="G85" s="15" t="s">
        <v>22</v>
      </c>
      <c r="H85" s="16">
        <f t="shared" si="5"/>
        <v>37.5</v>
      </c>
      <c r="I85" s="16">
        <f t="shared" si="6"/>
        <v>0</v>
      </c>
      <c r="J85" s="16">
        <f t="shared" si="7"/>
        <v>1</v>
      </c>
      <c r="K85" s="17" t="s">
        <v>46</v>
      </c>
      <c r="L85" s="18"/>
      <c r="M85" s="19"/>
      <c r="N85" s="19"/>
      <c r="O85" s="19"/>
      <c r="P85" s="20"/>
      <c r="Q85" s="20"/>
      <c r="R85" s="21"/>
    </row>
    <row r="86" spans="1:18" x14ac:dyDescent="0.35">
      <c r="A86" s="1">
        <v>243</v>
      </c>
      <c r="B86" t="s">
        <v>66</v>
      </c>
      <c r="C86" t="s">
        <v>66</v>
      </c>
      <c r="D86" t="s">
        <v>67</v>
      </c>
      <c r="E86" t="s">
        <v>35</v>
      </c>
      <c r="F86" s="14">
        <v>40</v>
      </c>
      <c r="G86" s="15" t="s">
        <v>23</v>
      </c>
      <c r="H86" s="16">
        <f t="shared" si="5"/>
        <v>30</v>
      </c>
      <c r="I86" s="16">
        <f t="shared" si="6"/>
        <v>1</v>
      </c>
      <c r="J86" s="16">
        <f t="shared" si="7"/>
        <v>1</v>
      </c>
      <c r="K86" s="17"/>
      <c r="L86" s="18"/>
      <c r="M86" s="19"/>
      <c r="N86" s="19"/>
      <c r="O86" s="19"/>
      <c r="P86" s="20"/>
      <c r="Q86" s="20"/>
      <c r="R86" s="21"/>
    </row>
    <row r="87" spans="1:18" x14ac:dyDescent="0.35">
      <c r="A87" s="1">
        <v>130</v>
      </c>
      <c r="B87" t="s">
        <v>67</v>
      </c>
      <c r="C87" t="s">
        <v>66</v>
      </c>
      <c r="D87" t="s">
        <v>67</v>
      </c>
      <c r="E87" t="s">
        <v>20</v>
      </c>
      <c r="F87" s="14">
        <v>75</v>
      </c>
      <c r="G87" s="15" t="s">
        <v>25</v>
      </c>
      <c r="H87" s="16">
        <f t="shared" si="5"/>
        <v>65.625</v>
      </c>
      <c r="I87" s="16">
        <f t="shared" si="6"/>
        <v>1</v>
      </c>
      <c r="J87" s="16">
        <f t="shared" si="7"/>
        <v>1</v>
      </c>
      <c r="K87" s="17"/>
      <c r="L87" s="18"/>
      <c r="M87" s="19"/>
      <c r="N87" s="19"/>
      <c r="O87" s="19"/>
      <c r="P87" s="20"/>
      <c r="Q87" s="20"/>
      <c r="R87" s="21"/>
    </row>
    <row r="88" spans="1:18" x14ac:dyDescent="0.35">
      <c r="A88" s="1">
        <v>339</v>
      </c>
      <c r="B88" t="s">
        <v>67</v>
      </c>
      <c r="C88" t="s">
        <v>67</v>
      </c>
      <c r="D88" t="s">
        <v>67</v>
      </c>
      <c r="E88" t="s">
        <v>20</v>
      </c>
      <c r="F88" s="14">
        <v>75</v>
      </c>
      <c r="G88" s="15" t="s">
        <v>21</v>
      </c>
      <c r="H88" s="16">
        <f t="shared" si="5"/>
        <v>75</v>
      </c>
      <c r="I88" s="16">
        <f t="shared" si="6"/>
        <v>1</v>
      </c>
      <c r="J88" s="16">
        <f t="shared" si="7"/>
        <v>1</v>
      </c>
      <c r="K88" s="17"/>
      <c r="L88" s="18"/>
      <c r="M88" s="19"/>
      <c r="N88" s="19"/>
      <c r="O88" s="19"/>
      <c r="P88" s="20"/>
      <c r="Q88" s="20"/>
      <c r="R88" s="21"/>
    </row>
    <row r="89" spans="1:18" x14ac:dyDescent="0.35">
      <c r="A89" s="1">
        <v>640</v>
      </c>
      <c r="B89" t="s">
        <v>66</v>
      </c>
      <c r="C89" t="s">
        <v>67</v>
      </c>
      <c r="D89" t="s">
        <v>67</v>
      </c>
      <c r="E89" t="s">
        <v>67</v>
      </c>
      <c r="F89" s="14">
        <v>5</v>
      </c>
      <c r="G89" s="15" t="s">
        <v>19</v>
      </c>
      <c r="H89" s="16">
        <f t="shared" si="5"/>
        <v>1.25</v>
      </c>
      <c r="I89" s="16">
        <f t="shared" si="6"/>
        <v>0</v>
      </c>
      <c r="J89" s="16">
        <f t="shared" si="7"/>
        <v>0</v>
      </c>
      <c r="K89" s="17"/>
      <c r="L89" s="18"/>
      <c r="M89" s="19"/>
      <c r="N89" s="19"/>
      <c r="O89" s="19"/>
      <c r="P89" s="20"/>
      <c r="Q89" s="20"/>
      <c r="R89" s="21"/>
    </row>
    <row r="90" spans="1:18" x14ac:dyDescent="0.35">
      <c r="A90" s="1">
        <v>95</v>
      </c>
      <c r="B90" t="s">
        <v>67</v>
      </c>
      <c r="C90" t="s">
        <v>66</v>
      </c>
      <c r="D90" t="s">
        <v>67</v>
      </c>
      <c r="E90" t="s">
        <v>68</v>
      </c>
      <c r="F90" s="14">
        <v>30</v>
      </c>
      <c r="G90" s="15" t="s">
        <v>22</v>
      </c>
      <c r="H90" s="16">
        <f t="shared" si="5"/>
        <v>15</v>
      </c>
      <c r="I90" s="16">
        <f t="shared" si="6"/>
        <v>0</v>
      </c>
      <c r="J90" s="16">
        <f t="shared" si="7"/>
        <v>1</v>
      </c>
      <c r="K90" s="17"/>
      <c r="L90" s="18"/>
      <c r="M90" s="19"/>
      <c r="N90" s="19"/>
      <c r="O90" s="19"/>
      <c r="P90" s="20"/>
      <c r="Q90" s="20"/>
      <c r="R90" s="21"/>
    </row>
    <row r="91" spans="1:18" x14ac:dyDescent="0.35">
      <c r="A91" s="1">
        <v>391</v>
      </c>
      <c r="B91" t="s">
        <v>66</v>
      </c>
      <c r="C91" t="s">
        <v>66</v>
      </c>
      <c r="D91" t="s">
        <v>67</v>
      </c>
      <c r="E91" t="s">
        <v>20</v>
      </c>
      <c r="F91" s="14">
        <v>50</v>
      </c>
      <c r="G91" s="15" t="s">
        <v>25</v>
      </c>
      <c r="H91" s="16">
        <f t="shared" si="5"/>
        <v>43.75</v>
      </c>
      <c r="I91" s="16">
        <f t="shared" si="6"/>
        <v>1</v>
      </c>
      <c r="J91" s="16">
        <f t="shared" si="7"/>
        <v>1</v>
      </c>
      <c r="K91" s="17"/>
      <c r="L91" s="18"/>
      <c r="M91" s="19"/>
      <c r="N91" s="19"/>
      <c r="O91" s="19"/>
      <c r="P91" s="20"/>
      <c r="Q91" s="20"/>
      <c r="R91" s="21"/>
    </row>
    <row r="92" spans="1:18" x14ac:dyDescent="0.35">
      <c r="A92" s="1">
        <v>168</v>
      </c>
      <c r="B92" t="s">
        <v>67</v>
      </c>
      <c r="C92" t="s">
        <v>67</v>
      </c>
      <c r="D92" t="s">
        <v>67</v>
      </c>
      <c r="E92" t="s">
        <v>67</v>
      </c>
      <c r="F92" s="14">
        <v>0</v>
      </c>
      <c r="G92" s="15" t="s">
        <v>17</v>
      </c>
      <c r="H92" s="16">
        <f t="shared" si="5"/>
        <v>0</v>
      </c>
      <c r="I92" s="16">
        <f t="shared" si="6"/>
        <v>0</v>
      </c>
      <c r="J92" s="16">
        <f t="shared" si="7"/>
        <v>0</v>
      </c>
      <c r="K92" s="17"/>
      <c r="L92" s="18"/>
      <c r="M92" s="19"/>
      <c r="N92" s="19"/>
      <c r="O92" s="19"/>
      <c r="P92" s="20"/>
      <c r="Q92" s="20"/>
      <c r="R92" s="21"/>
    </row>
    <row r="93" spans="1:18" x14ac:dyDescent="0.35">
      <c r="A93" s="1">
        <v>501</v>
      </c>
      <c r="B93" t="s">
        <v>67</v>
      </c>
      <c r="C93" t="s">
        <v>67</v>
      </c>
      <c r="D93" t="s">
        <v>67</v>
      </c>
      <c r="E93" t="s">
        <v>67</v>
      </c>
      <c r="F93" s="14">
        <v>0</v>
      </c>
      <c r="G93" s="15" t="s">
        <v>17</v>
      </c>
      <c r="H93" s="16">
        <f t="shared" si="5"/>
        <v>0</v>
      </c>
      <c r="I93" s="16">
        <f t="shared" si="6"/>
        <v>0</v>
      </c>
      <c r="J93" s="16">
        <f t="shared" si="7"/>
        <v>0</v>
      </c>
      <c r="K93" s="17"/>
      <c r="L93" s="18"/>
      <c r="M93" s="19"/>
      <c r="N93" s="19"/>
      <c r="O93" s="19"/>
      <c r="P93" s="20"/>
      <c r="Q93" s="20"/>
      <c r="R93" s="21"/>
    </row>
    <row r="94" spans="1:18" x14ac:dyDescent="0.35">
      <c r="A94" s="1">
        <v>487</v>
      </c>
      <c r="B94" t="s">
        <v>67</v>
      </c>
      <c r="C94" t="s">
        <v>67</v>
      </c>
      <c r="D94" t="s">
        <v>67</v>
      </c>
      <c r="E94" t="s">
        <v>67</v>
      </c>
      <c r="F94" s="14">
        <v>0</v>
      </c>
      <c r="G94" s="15" t="s">
        <v>17</v>
      </c>
      <c r="H94" s="16">
        <f t="shared" si="5"/>
        <v>0</v>
      </c>
      <c r="I94" s="16">
        <f t="shared" si="6"/>
        <v>0</v>
      </c>
      <c r="J94" s="16">
        <f t="shared" si="7"/>
        <v>0</v>
      </c>
      <c r="K94" s="17"/>
      <c r="L94" s="18"/>
      <c r="M94" s="19"/>
      <c r="N94" s="19"/>
      <c r="O94" s="19"/>
      <c r="P94" s="20"/>
      <c r="Q94" s="20"/>
      <c r="R94" s="21"/>
    </row>
    <row r="95" spans="1:18" x14ac:dyDescent="0.35">
      <c r="A95" s="1">
        <v>688</v>
      </c>
      <c r="B95" t="s">
        <v>67</v>
      </c>
      <c r="C95" t="s">
        <v>67</v>
      </c>
      <c r="D95" t="s">
        <v>67</v>
      </c>
      <c r="E95" t="s">
        <v>67</v>
      </c>
      <c r="F95" s="14">
        <v>0</v>
      </c>
      <c r="G95" s="15" t="s">
        <v>17</v>
      </c>
      <c r="H95" s="16">
        <f t="shared" si="5"/>
        <v>0</v>
      </c>
      <c r="I95" s="16">
        <f t="shared" si="6"/>
        <v>0</v>
      </c>
      <c r="J95" s="16">
        <f t="shared" si="7"/>
        <v>0</v>
      </c>
      <c r="K95" s="17"/>
      <c r="L95" s="18"/>
      <c r="M95" s="19"/>
      <c r="N95" s="19"/>
      <c r="O95" s="19"/>
      <c r="P95" s="20"/>
      <c r="Q95" s="20"/>
      <c r="R95" s="21"/>
    </row>
    <row r="96" spans="1:18" x14ac:dyDescent="0.35">
      <c r="A96" s="1">
        <v>582</v>
      </c>
      <c r="B96" t="s">
        <v>66</v>
      </c>
      <c r="C96" t="s">
        <v>67</v>
      </c>
      <c r="D96" t="s">
        <v>67</v>
      </c>
      <c r="E96" t="s">
        <v>67</v>
      </c>
      <c r="F96" s="14">
        <v>5</v>
      </c>
      <c r="G96" s="15" t="s">
        <v>19</v>
      </c>
      <c r="H96" s="16">
        <f t="shared" si="5"/>
        <v>1.25</v>
      </c>
      <c r="I96" s="16">
        <f t="shared" si="6"/>
        <v>0</v>
      </c>
      <c r="J96" s="16">
        <f t="shared" si="7"/>
        <v>0</v>
      </c>
      <c r="K96" s="17"/>
      <c r="L96" s="18"/>
      <c r="M96" s="19"/>
      <c r="N96" s="19"/>
      <c r="O96" s="19"/>
      <c r="P96" s="20"/>
      <c r="Q96" s="20"/>
      <c r="R96" s="21"/>
    </row>
    <row r="97" spans="1:18" x14ac:dyDescent="0.35">
      <c r="A97" s="1">
        <v>386</v>
      </c>
      <c r="B97" t="s">
        <v>67</v>
      </c>
      <c r="C97" t="s">
        <v>66</v>
      </c>
      <c r="D97" t="s">
        <v>67</v>
      </c>
      <c r="E97" t="s">
        <v>35</v>
      </c>
      <c r="F97" s="14">
        <v>50</v>
      </c>
      <c r="G97" s="15" t="s">
        <v>23</v>
      </c>
      <c r="H97" s="16">
        <f t="shared" si="5"/>
        <v>37.5</v>
      </c>
      <c r="I97" s="16">
        <f t="shared" si="6"/>
        <v>1</v>
      </c>
      <c r="J97" s="16">
        <f t="shared" si="7"/>
        <v>1</v>
      </c>
      <c r="K97" s="17"/>
      <c r="L97" s="18"/>
      <c r="M97" s="19"/>
      <c r="N97" s="19"/>
      <c r="O97" s="19"/>
      <c r="P97" s="20"/>
      <c r="Q97" s="20"/>
      <c r="R97" s="21"/>
    </row>
    <row r="98" spans="1:18" x14ac:dyDescent="0.35">
      <c r="A98" s="1">
        <v>37</v>
      </c>
      <c r="B98" t="s">
        <v>67</v>
      </c>
      <c r="C98" t="s">
        <v>66</v>
      </c>
      <c r="D98" t="s">
        <v>66</v>
      </c>
      <c r="E98" t="s">
        <v>20</v>
      </c>
      <c r="F98" s="14">
        <v>70</v>
      </c>
      <c r="G98" s="15" t="s">
        <v>30</v>
      </c>
      <c r="H98" s="16">
        <f t="shared" si="5"/>
        <v>61.25</v>
      </c>
      <c r="I98" s="16">
        <f t="shared" si="6"/>
        <v>1</v>
      </c>
      <c r="J98" s="16">
        <f t="shared" si="7"/>
        <v>1</v>
      </c>
      <c r="K98" s="17"/>
      <c r="L98" s="18"/>
      <c r="M98" s="19"/>
      <c r="N98" s="19"/>
      <c r="O98" s="19"/>
      <c r="P98" s="20"/>
      <c r="Q98" s="20"/>
      <c r="R98" s="21"/>
    </row>
    <row r="99" spans="1:18" x14ac:dyDescent="0.35">
      <c r="A99" s="1">
        <v>20</v>
      </c>
      <c r="B99" t="s">
        <v>66</v>
      </c>
      <c r="C99" t="s">
        <v>67</v>
      </c>
      <c r="D99" t="s">
        <v>67</v>
      </c>
      <c r="E99" t="s">
        <v>67</v>
      </c>
      <c r="F99" s="14">
        <v>5</v>
      </c>
      <c r="G99" s="15" t="s">
        <v>19</v>
      </c>
      <c r="H99" s="16">
        <f t="shared" si="5"/>
        <v>1.25</v>
      </c>
      <c r="I99" s="16">
        <f t="shared" si="6"/>
        <v>0</v>
      </c>
      <c r="J99" s="16">
        <f t="shared" si="7"/>
        <v>0</v>
      </c>
      <c r="K99" s="17"/>
      <c r="L99" s="18"/>
      <c r="M99" s="19"/>
      <c r="N99" s="19"/>
      <c r="O99" s="19"/>
      <c r="P99" s="20"/>
      <c r="Q99" s="20"/>
      <c r="R99" s="21"/>
    </row>
    <row r="100" spans="1:18" x14ac:dyDescent="0.35">
      <c r="A100" s="1">
        <v>210</v>
      </c>
      <c r="B100" t="s">
        <v>67</v>
      </c>
      <c r="C100" t="s">
        <v>66</v>
      </c>
      <c r="D100" t="s">
        <v>67</v>
      </c>
      <c r="E100" t="s">
        <v>35</v>
      </c>
      <c r="F100" s="14">
        <v>20</v>
      </c>
      <c r="G100" s="15" t="s">
        <v>23</v>
      </c>
      <c r="H100" s="16">
        <f t="shared" si="5"/>
        <v>15</v>
      </c>
      <c r="I100" s="16">
        <f t="shared" si="6"/>
        <v>1</v>
      </c>
      <c r="J100" s="16">
        <f t="shared" si="7"/>
        <v>1</v>
      </c>
      <c r="K100" s="17"/>
      <c r="L100" s="18"/>
      <c r="M100" s="19"/>
      <c r="N100" s="19"/>
      <c r="O100" s="19"/>
      <c r="P100" s="20"/>
      <c r="Q100" s="20"/>
      <c r="R100" s="21"/>
    </row>
    <row r="101" spans="1:18" x14ac:dyDescent="0.35">
      <c r="A101" s="1">
        <v>581</v>
      </c>
      <c r="B101" t="s">
        <v>67</v>
      </c>
      <c r="C101" t="s">
        <v>67</v>
      </c>
      <c r="D101" t="s">
        <v>67</v>
      </c>
      <c r="E101" t="s">
        <v>67</v>
      </c>
      <c r="F101" s="14">
        <v>0</v>
      </c>
      <c r="G101" s="15" t="s">
        <v>17</v>
      </c>
      <c r="H101" s="16">
        <f t="shared" si="5"/>
        <v>0</v>
      </c>
      <c r="I101" s="16">
        <f t="shared" si="6"/>
        <v>0</v>
      </c>
      <c r="J101" s="16">
        <f t="shared" si="7"/>
        <v>0</v>
      </c>
      <c r="K101" s="17"/>
      <c r="L101" s="18"/>
      <c r="M101" s="19"/>
      <c r="N101" s="19"/>
      <c r="O101" s="19"/>
      <c r="P101" s="20"/>
      <c r="Q101" s="20"/>
      <c r="R101" s="21"/>
    </row>
    <row r="102" spans="1:18" x14ac:dyDescent="0.35">
      <c r="A102" s="1">
        <v>389</v>
      </c>
      <c r="B102" t="s">
        <v>67</v>
      </c>
      <c r="C102" t="s">
        <v>66</v>
      </c>
      <c r="D102" t="s">
        <v>67</v>
      </c>
      <c r="E102" t="s">
        <v>68</v>
      </c>
      <c r="F102" s="14">
        <v>10</v>
      </c>
      <c r="G102" s="15" t="s">
        <v>22</v>
      </c>
      <c r="H102" s="16">
        <f t="shared" si="5"/>
        <v>5</v>
      </c>
      <c r="I102" s="16">
        <f t="shared" si="6"/>
        <v>0</v>
      </c>
      <c r="J102" s="16">
        <f t="shared" si="7"/>
        <v>1</v>
      </c>
      <c r="K102" s="17"/>
      <c r="L102" s="18"/>
      <c r="M102" s="19"/>
      <c r="N102" s="19"/>
      <c r="O102" s="19"/>
      <c r="P102" s="20"/>
      <c r="Q102" s="20"/>
      <c r="R102" s="21"/>
    </row>
    <row r="103" spans="1:18" x14ac:dyDescent="0.35">
      <c r="A103" s="1">
        <v>294</v>
      </c>
      <c r="B103" t="s">
        <v>24</v>
      </c>
      <c r="C103" t="s">
        <v>24</v>
      </c>
      <c r="D103" t="s">
        <v>24</v>
      </c>
      <c r="E103" t="s">
        <v>24</v>
      </c>
      <c r="F103" t="s">
        <v>24</v>
      </c>
      <c r="G103" t="s">
        <v>24</v>
      </c>
      <c r="H103" s="16" t="e">
        <f t="shared" si="5"/>
        <v>#N/A</v>
      </c>
      <c r="I103" s="16">
        <f t="shared" si="6"/>
        <v>1</v>
      </c>
      <c r="J103" s="16">
        <f t="shared" si="7"/>
        <v>1</v>
      </c>
      <c r="K103" s="17" t="s">
        <v>47</v>
      </c>
      <c r="L103" s="18"/>
      <c r="M103" s="19"/>
      <c r="N103" s="19"/>
      <c r="O103" s="19"/>
      <c r="P103" s="20"/>
      <c r="Q103" s="20"/>
      <c r="R103" s="21"/>
    </row>
    <row r="104" spans="1:18" x14ac:dyDescent="0.35">
      <c r="A104" s="1">
        <v>691</v>
      </c>
      <c r="B104" t="s">
        <v>66</v>
      </c>
      <c r="C104" t="s">
        <v>67</v>
      </c>
      <c r="D104" t="s">
        <v>67</v>
      </c>
      <c r="E104" t="s">
        <v>67</v>
      </c>
      <c r="F104" s="14">
        <v>5</v>
      </c>
      <c r="G104" s="15" t="s">
        <v>19</v>
      </c>
      <c r="H104" s="16">
        <f t="shared" si="5"/>
        <v>1.25</v>
      </c>
      <c r="I104" s="16">
        <f t="shared" si="6"/>
        <v>0</v>
      </c>
      <c r="J104" s="16">
        <f t="shared" si="7"/>
        <v>0</v>
      </c>
      <c r="K104" s="17" t="s">
        <v>48</v>
      </c>
      <c r="L104" s="18"/>
      <c r="M104" s="19"/>
      <c r="N104" s="19"/>
      <c r="O104" s="19"/>
      <c r="P104" s="20"/>
      <c r="Q104" s="20"/>
      <c r="R104" s="21"/>
    </row>
    <row r="105" spans="1:18" x14ac:dyDescent="0.35">
      <c r="A105" s="1">
        <v>616</v>
      </c>
      <c r="B105" t="s">
        <v>66</v>
      </c>
      <c r="C105" t="s">
        <v>67</v>
      </c>
      <c r="D105" t="s">
        <v>67</v>
      </c>
      <c r="E105" t="s">
        <v>67</v>
      </c>
      <c r="F105" s="14">
        <v>5</v>
      </c>
      <c r="G105" s="15" t="s">
        <v>19</v>
      </c>
      <c r="H105" s="16">
        <f t="shared" si="5"/>
        <v>1.25</v>
      </c>
      <c r="I105" s="16">
        <f t="shared" si="6"/>
        <v>0</v>
      </c>
      <c r="J105" s="16">
        <f t="shared" si="7"/>
        <v>0</v>
      </c>
      <c r="K105" s="17" t="s">
        <v>48</v>
      </c>
      <c r="L105" s="18"/>
      <c r="M105" s="19"/>
      <c r="N105" s="19"/>
      <c r="O105" s="19"/>
      <c r="P105" s="20"/>
      <c r="Q105" s="20"/>
      <c r="R105" s="21"/>
    </row>
    <row r="106" spans="1:18" x14ac:dyDescent="0.35">
      <c r="A106" s="1">
        <v>55</v>
      </c>
      <c r="B106" t="s">
        <v>67</v>
      </c>
      <c r="C106" t="s">
        <v>66</v>
      </c>
      <c r="D106" t="s">
        <v>67</v>
      </c>
      <c r="E106" t="s">
        <v>67</v>
      </c>
      <c r="F106" s="14">
        <v>5</v>
      </c>
      <c r="G106" s="15" t="s">
        <v>19</v>
      </c>
      <c r="H106" s="16">
        <f t="shared" si="5"/>
        <v>1.25</v>
      </c>
      <c r="I106" s="16">
        <f t="shared" si="6"/>
        <v>0</v>
      </c>
      <c r="J106" s="16">
        <f t="shared" si="7"/>
        <v>0</v>
      </c>
      <c r="K106" s="17" t="s">
        <v>48</v>
      </c>
      <c r="L106" s="18"/>
      <c r="M106" s="19"/>
      <c r="N106" s="19"/>
      <c r="O106" s="19"/>
      <c r="P106" s="20"/>
      <c r="Q106" s="20"/>
      <c r="R106" s="21"/>
    </row>
    <row r="107" spans="1:18" x14ac:dyDescent="0.35">
      <c r="A107" s="1">
        <v>242</v>
      </c>
      <c r="B107" t="s">
        <v>67</v>
      </c>
      <c r="C107" t="s">
        <v>67</v>
      </c>
      <c r="D107" t="s">
        <v>67</v>
      </c>
      <c r="E107" t="s">
        <v>67</v>
      </c>
      <c r="F107" s="14">
        <v>0</v>
      </c>
      <c r="G107" s="15" t="s">
        <v>49</v>
      </c>
      <c r="H107" s="16">
        <f t="shared" si="5"/>
        <v>0</v>
      </c>
      <c r="I107" s="16">
        <f t="shared" si="6"/>
        <v>0</v>
      </c>
      <c r="J107" s="16">
        <f t="shared" si="7"/>
        <v>0</v>
      </c>
      <c r="K107" s="17" t="s">
        <v>48</v>
      </c>
      <c r="L107" s="18"/>
      <c r="M107" s="19"/>
      <c r="N107" s="19"/>
      <c r="O107" s="19"/>
      <c r="P107" s="20"/>
      <c r="Q107" s="20"/>
      <c r="R107" s="21"/>
    </row>
    <row r="108" spans="1:18" x14ac:dyDescent="0.35">
      <c r="A108" s="1">
        <v>332</v>
      </c>
      <c r="B108" t="s">
        <v>67</v>
      </c>
      <c r="C108" t="s">
        <v>67</v>
      </c>
      <c r="D108" t="s">
        <v>67</v>
      </c>
      <c r="E108" t="s">
        <v>35</v>
      </c>
      <c r="F108" s="14">
        <v>20</v>
      </c>
      <c r="G108" s="15" t="s">
        <v>25</v>
      </c>
      <c r="H108" s="16">
        <f t="shared" si="5"/>
        <v>17.5</v>
      </c>
      <c r="I108" s="16">
        <f t="shared" si="6"/>
        <v>1</v>
      </c>
      <c r="J108" s="16">
        <f t="shared" si="7"/>
        <v>1</v>
      </c>
      <c r="K108" s="17" t="s">
        <v>50</v>
      </c>
      <c r="L108" s="18"/>
      <c r="M108" s="19"/>
      <c r="N108" s="19"/>
      <c r="O108" s="19"/>
      <c r="P108" s="20"/>
      <c r="Q108" s="20"/>
      <c r="R108" s="21"/>
    </row>
    <row r="109" spans="1:18" x14ac:dyDescent="0.35">
      <c r="A109" s="1">
        <v>297</v>
      </c>
      <c r="B109" t="s">
        <v>67</v>
      </c>
      <c r="C109" t="s">
        <v>67</v>
      </c>
      <c r="D109" t="s">
        <v>67</v>
      </c>
      <c r="E109" t="s">
        <v>67</v>
      </c>
      <c r="F109" s="14">
        <v>0</v>
      </c>
      <c r="G109" s="15" t="s">
        <v>49</v>
      </c>
      <c r="H109" s="16">
        <f t="shared" si="5"/>
        <v>0</v>
      </c>
      <c r="I109" s="16">
        <f t="shared" si="6"/>
        <v>0</v>
      </c>
      <c r="J109" s="16">
        <f t="shared" si="7"/>
        <v>0</v>
      </c>
      <c r="K109" s="17" t="s">
        <v>48</v>
      </c>
      <c r="L109" s="18"/>
      <c r="M109" s="19"/>
      <c r="N109" s="19"/>
      <c r="O109" s="19"/>
      <c r="P109" s="20"/>
      <c r="Q109" s="20"/>
      <c r="R109" s="21"/>
    </row>
    <row r="110" spans="1:18" x14ac:dyDescent="0.35">
      <c r="A110" s="1">
        <v>295</v>
      </c>
      <c r="B110" t="s">
        <v>24</v>
      </c>
      <c r="C110" t="s">
        <v>24</v>
      </c>
      <c r="D110" t="s">
        <v>24</v>
      </c>
      <c r="E110" t="s">
        <v>24</v>
      </c>
      <c r="F110" t="s">
        <v>24</v>
      </c>
      <c r="G110" t="s">
        <v>24</v>
      </c>
      <c r="H110" s="16" t="e">
        <f t="shared" si="5"/>
        <v>#N/A</v>
      </c>
      <c r="I110" s="16">
        <f t="shared" si="6"/>
        <v>1</v>
      </c>
      <c r="J110" s="16">
        <f t="shared" si="7"/>
        <v>1</v>
      </c>
      <c r="K110" s="17" t="s">
        <v>47</v>
      </c>
      <c r="L110" s="18"/>
      <c r="M110" s="19"/>
      <c r="N110" s="19"/>
      <c r="O110" s="19"/>
      <c r="P110" s="20"/>
      <c r="Q110" s="20"/>
      <c r="R110" s="21"/>
    </row>
    <row r="111" spans="1:18" x14ac:dyDescent="0.35">
      <c r="A111" s="1">
        <v>56</v>
      </c>
      <c r="B111" t="s">
        <v>66</v>
      </c>
      <c r="C111" t="s">
        <v>66</v>
      </c>
      <c r="D111" t="s">
        <v>67</v>
      </c>
      <c r="E111" t="s">
        <v>20</v>
      </c>
      <c r="F111" s="14">
        <v>45</v>
      </c>
      <c r="G111" s="15" t="s">
        <v>25</v>
      </c>
      <c r="H111" s="16">
        <f t="shared" si="5"/>
        <v>39.375</v>
      </c>
      <c r="I111" s="16">
        <f t="shared" si="6"/>
        <v>1</v>
      </c>
      <c r="J111" s="16">
        <f t="shared" si="7"/>
        <v>1</v>
      </c>
      <c r="K111" s="17" t="s">
        <v>48</v>
      </c>
      <c r="L111" s="18"/>
      <c r="M111" s="19"/>
      <c r="N111" s="19"/>
      <c r="O111" s="19"/>
      <c r="P111" s="20"/>
      <c r="Q111" s="20"/>
      <c r="R111" s="21"/>
    </row>
    <row r="112" spans="1:18" x14ac:dyDescent="0.35">
      <c r="A112" s="1">
        <v>190</v>
      </c>
      <c r="B112" t="s">
        <v>67</v>
      </c>
      <c r="C112" t="s">
        <v>66</v>
      </c>
      <c r="D112" t="s">
        <v>66</v>
      </c>
      <c r="E112" t="s">
        <v>20</v>
      </c>
      <c r="F112" s="14">
        <v>90</v>
      </c>
      <c r="G112" s="15" t="s">
        <v>25</v>
      </c>
      <c r="H112" s="16">
        <f t="shared" si="5"/>
        <v>78.75</v>
      </c>
      <c r="I112" s="16">
        <f t="shared" si="6"/>
        <v>1</v>
      </c>
      <c r="J112" s="16">
        <f t="shared" si="7"/>
        <v>1</v>
      </c>
      <c r="K112" s="17" t="s">
        <v>48</v>
      </c>
      <c r="L112" s="18"/>
      <c r="M112" s="19"/>
      <c r="N112" s="19"/>
      <c r="O112" s="19"/>
      <c r="P112" s="20"/>
      <c r="Q112" s="20"/>
      <c r="R112" s="21"/>
    </row>
    <row r="113" spans="1:18" x14ac:dyDescent="0.35">
      <c r="A113" s="1">
        <v>183</v>
      </c>
      <c r="B113" t="s">
        <v>67</v>
      </c>
      <c r="C113" t="s">
        <v>67</v>
      </c>
      <c r="D113" t="s">
        <v>67</v>
      </c>
      <c r="E113" t="s">
        <v>67</v>
      </c>
      <c r="F113" s="14">
        <v>0</v>
      </c>
      <c r="G113" s="15" t="s">
        <v>49</v>
      </c>
      <c r="H113" s="16">
        <f t="shared" si="5"/>
        <v>0</v>
      </c>
      <c r="I113" s="16">
        <f t="shared" si="6"/>
        <v>0</v>
      </c>
      <c r="J113" s="16">
        <f t="shared" si="7"/>
        <v>0</v>
      </c>
      <c r="K113" s="17" t="s">
        <v>48</v>
      </c>
      <c r="L113" s="18"/>
      <c r="M113" s="19"/>
      <c r="N113" s="19"/>
      <c r="O113" s="19"/>
      <c r="P113" s="20"/>
      <c r="Q113" s="20"/>
      <c r="R113" s="21"/>
    </row>
    <row r="114" spans="1:18" x14ac:dyDescent="0.35">
      <c r="A114" s="1">
        <v>410</v>
      </c>
      <c r="B114" t="s">
        <v>67</v>
      </c>
      <c r="C114" t="s">
        <v>67</v>
      </c>
      <c r="D114" t="s">
        <v>67</v>
      </c>
      <c r="E114" t="s">
        <v>67</v>
      </c>
      <c r="F114" s="14">
        <v>0</v>
      </c>
      <c r="G114" s="15" t="s">
        <v>49</v>
      </c>
      <c r="H114" s="16">
        <f t="shared" si="5"/>
        <v>0</v>
      </c>
      <c r="I114" s="16">
        <f t="shared" si="6"/>
        <v>0</v>
      </c>
      <c r="J114" s="16">
        <f t="shared" si="7"/>
        <v>0</v>
      </c>
      <c r="K114" s="17" t="s">
        <v>48</v>
      </c>
      <c r="L114" s="18"/>
      <c r="M114" s="19"/>
      <c r="N114" s="19"/>
      <c r="O114" s="19"/>
      <c r="P114" s="20"/>
      <c r="Q114" s="20"/>
      <c r="R114" s="21"/>
    </row>
    <row r="115" spans="1:18" x14ac:dyDescent="0.35">
      <c r="A115" s="1">
        <v>67</v>
      </c>
      <c r="B115" t="s">
        <v>67</v>
      </c>
      <c r="C115" t="s">
        <v>67</v>
      </c>
      <c r="D115" t="s">
        <v>67</v>
      </c>
      <c r="E115" t="s">
        <v>67</v>
      </c>
      <c r="F115" s="14">
        <v>0</v>
      </c>
      <c r="G115" s="15" t="s">
        <v>49</v>
      </c>
      <c r="H115" s="16">
        <f t="shared" si="5"/>
        <v>0</v>
      </c>
      <c r="I115" s="16">
        <f t="shared" si="6"/>
        <v>0</v>
      </c>
      <c r="J115" s="16">
        <f t="shared" si="7"/>
        <v>0</v>
      </c>
      <c r="K115" s="17" t="s">
        <v>48</v>
      </c>
      <c r="L115" s="18"/>
      <c r="M115" s="19"/>
      <c r="N115" s="19"/>
      <c r="O115" s="19"/>
      <c r="P115" s="20"/>
      <c r="Q115" s="20"/>
      <c r="R115" s="21"/>
    </row>
    <row r="116" spans="1:18" x14ac:dyDescent="0.35">
      <c r="A116" s="1">
        <v>592</v>
      </c>
      <c r="B116" t="s">
        <v>67</v>
      </c>
      <c r="C116" t="s">
        <v>67</v>
      </c>
      <c r="D116" t="s">
        <v>67</v>
      </c>
      <c r="E116" t="s">
        <v>67</v>
      </c>
      <c r="F116" s="14">
        <v>0</v>
      </c>
      <c r="G116" s="15" t="s">
        <v>49</v>
      </c>
      <c r="H116" s="16">
        <f t="shared" si="5"/>
        <v>0</v>
      </c>
      <c r="I116" s="16">
        <f t="shared" si="6"/>
        <v>0</v>
      </c>
      <c r="J116" s="16">
        <f t="shared" si="7"/>
        <v>0</v>
      </c>
      <c r="K116" s="17" t="s">
        <v>48</v>
      </c>
      <c r="L116" s="18"/>
      <c r="M116" s="19"/>
      <c r="N116" s="19"/>
      <c r="O116" s="19"/>
      <c r="P116" s="20"/>
      <c r="Q116" s="20"/>
    </row>
    <row r="117" spans="1:18" x14ac:dyDescent="0.35">
      <c r="A117" s="1">
        <v>512</v>
      </c>
      <c r="B117" t="s">
        <v>24</v>
      </c>
      <c r="C117" t="s">
        <v>24</v>
      </c>
      <c r="D117" t="s">
        <v>24</v>
      </c>
      <c r="E117" t="s">
        <v>24</v>
      </c>
      <c r="F117" t="s">
        <v>24</v>
      </c>
      <c r="G117" t="s">
        <v>24</v>
      </c>
      <c r="H117" s="16" t="e">
        <f t="shared" si="5"/>
        <v>#N/A</v>
      </c>
      <c r="I117" s="16">
        <f t="shared" si="6"/>
        <v>1</v>
      </c>
      <c r="J117" s="16">
        <f t="shared" si="7"/>
        <v>1</v>
      </c>
      <c r="K117" s="17" t="s">
        <v>47</v>
      </c>
      <c r="L117" s="18"/>
      <c r="M117" s="19"/>
      <c r="N117" s="19"/>
      <c r="O117" s="19"/>
      <c r="P117" s="20"/>
      <c r="Q117" s="20"/>
    </row>
    <row r="118" spans="1:18" x14ac:dyDescent="0.35">
      <c r="A118" s="1">
        <v>65</v>
      </c>
      <c r="B118" t="s">
        <v>66</v>
      </c>
      <c r="C118" t="s">
        <v>67</v>
      </c>
      <c r="D118" t="s">
        <v>67</v>
      </c>
      <c r="E118" t="s">
        <v>67</v>
      </c>
      <c r="F118" s="14">
        <v>5</v>
      </c>
      <c r="G118" s="15" t="s">
        <v>19</v>
      </c>
      <c r="H118" s="16">
        <f t="shared" si="5"/>
        <v>1.25</v>
      </c>
      <c r="I118" s="16">
        <f t="shared" si="6"/>
        <v>0</v>
      </c>
      <c r="J118" s="16">
        <f t="shared" si="7"/>
        <v>0</v>
      </c>
      <c r="K118" s="17" t="s">
        <v>48</v>
      </c>
      <c r="L118" s="18"/>
      <c r="M118" s="19"/>
      <c r="N118" s="19"/>
      <c r="O118" s="19"/>
      <c r="P118" s="20"/>
      <c r="Q118" s="20"/>
    </row>
    <row r="119" spans="1:18" x14ac:dyDescent="0.35">
      <c r="A119" s="1">
        <v>706</v>
      </c>
      <c r="B119" t="s">
        <v>67</v>
      </c>
      <c r="C119" t="s">
        <v>67</v>
      </c>
      <c r="D119" t="s">
        <v>67</v>
      </c>
      <c r="E119" t="s">
        <v>67</v>
      </c>
      <c r="F119" s="14">
        <v>0</v>
      </c>
      <c r="G119" s="15" t="s">
        <v>49</v>
      </c>
      <c r="H119" s="16">
        <f t="shared" si="5"/>
        <v>0</v>
      </c>
      <c r="I119" s="16">
        <f t="shared" si="6"/>
        <v>0</v>
      </c>
      <c r="J119" s="16">
        <f t="shared" si="7"/>
        <v>0</v>
      </c>
      <c r="K119" s="17" t="s">
        <v>52</v>
      </c>
      <c r="L119" s="18"/>
      <c r="M119" s="19"/>
      <c r="N119" s="19"/>
      <c r="O119" s="19"/>
      <c r="P119" s="20"/>
      <c r="Q119" s="20"/>
    </row>
    <row r="120" spans="1:18" x14ac:dyDescent="0.35">
      <c r="A120" s="1">
        <v>148</v>
      </c>
      <c r="B120" t="s">
        <v>67</v>
      </c>
      <c r="C120" t="s">
        <v>67</v>
      </c>
      <c r="D120" t="s">
        <v>67</v>
      </c>
      <c r="E120" t="s">
        <v>67</v>
      </c>
      <c r="F120" s="14">
        <v>0</v>
      </c>
      <c r="G120" s="15" t="s">
        <v>49</v>
      </c>
      <c r="H120" s="16">
        <f t="shared" si="5"/>
        <v>0</v>
      </c>
      <c r="I120" s="16">
        <f t="shared" si="6"/>
        <v>0</v>
      </c>
      <c r="J120" s="16">
        <f t="shared" si="7"/>
        <v>0</v>
      </c>
      <c r="K120" s="17" t="s">
        <v>48</v>
      </c>
      <c r="L120" s="18"/>
      <c r="M120" s="19"/>
      <c r="N120" s="19"/>
      <c r="O120" s="19"/>
      <c r="P120" s="20"/>
      <c r="Q120" s="20"/>
    </row>
    <row r="121" spans="1:18" x14ac:dyDescent="0.35">
      <c r="A121" s="1">
        <v>638</v>
      </c>
      <c r="B121" t="s">
        <v>67</v>
      </c>
      <c r="C121" t="s">
        <v>66</v>
      </c>
      <c r="D121" t="s">
        <v>67</v>
      </c>
      <c r="E121" t="s">
        <v>35</v>
      </c>
      <c r="F121" s="14">
        <v>60</v>
      </c>
      <c r="G121" s="15" t="s">
        <v>23</v>
      </c>
      <c r="H121" s="16">
        <f t="shared" si="5"/>
        <v>45</v>
      </c>
      <c r="I121" s="16">
        <f t="shared" si="6"/>
        <v>1</v>
      </c>
      <c r="J121" s="16">
        <f t="shared" si="7"/>
        <v>1</v>
      </c>
      <c r="K121" s="17" t="s">
        <v>48</v>
      </c>
      <c r="L121" s="18"/>
      <c r="M121" s="19"/>
      <c r="N121" s="19"/>
      <c r="O121" s="19"/>
      <c r="P121" s="20"/>
      <c r="Q121" s="20"/>
    </row>
    <row r="122" spans="1:18" x14ac:dyDescent="0.35">
      <c r="A122" s="1">
        <v>219</v>
      </c>
      <c r="B122" t="s">
        <v>24</v>
      </c>
      <c r="C122" t="s">
        <v>24</v>
      </c>
      <c r="D122" t="s">
        <v>24</v>
      </c>
      <c r="E122" t="s">
        <v>24</v>
      </c>
      <c r="F122" s="14" t="s">
        <v>24</v>
      </c>
      <c r="G122" s="15" t="s">
        <v>24</v>
      </c>
      <c r="H122" s="16" t="e">
        <f t="shared" si="5"/>
        <v>#N/A</v>
      </c>
      <c r="I122" s="16">
        <f t="shared" si="6"/>
        <v>1</v>
      </c>
      <c r="J122" s="16">
        <f t="shared" si="7"/>
        <v>1</v>
      </c>
      <c r="K122" s="17" t="s">
        <v>51</v>
      </c>
      <c r="L122" s="18"/>
      <c r="M122" s="19"/>
      <c r="N122" s="19"/>
      <c r="O122" s="19"/>
      <c r="P122" s="20"/>
      <c r="Q122" s="20"/>
    </row>
    <row r="123" spans="1:18" x14ac:dyDescent="0.35">
      <c r="A123" s="1">
        <v>464</v>
      </c>
      <c r="B123" t="s">
        <v>24</v>
      </c>
      <c r="C123" t="s">
        <v>24</v>
      </c>
      <c r="D123" t="s">
        <v>24</v>
      </c>
      <c r="E123" t="s">
        <v>24</v>
      </c>
      <c r="F123" s="14" t="s">
        <v>24</v>
      </c>
      <c r="G123" s="15" t="s">
        <v>24</v>
      </c>
      <c r="H123" s="16" t="e">
        <f t="shared" si="5"/>
        <v>#N/A</v>
      </c>
      <c r="I123" s="16">
        <f t="shared" si="6"/>
        <v>1</v>
      </c>
      <c r="J123" s="16">
        <f t="shared" si="7"/>
        <v>1</v>
      </c>
      <c r="K123" s="17" t="s">
        <v>51</v>
      </c>
      <c r="L123" s="18"/>
      <c r="M123" s="19"/>
      <c r="N123" s="19"/>
      <c r="O123" s="19"/>
      <c r="P123" s="20"/>
      <c r="Q123" s="20"/>
    </row>
    <row r="124" spans="1:18" x14ac:dyDescent="0.35">
      <c r="A124" s="1">
        <v>617</v>
      </c>
      <c r="B124" t="s">
        <v>67</v>
      </c>
      <c r="C124" t="s">
        <v>67</v>
      </c>
      <c r="D124" t="s">
        <v>67</v>
      </c>
      <c r="E124" t="s">
        <v>35</v>
      </c>
      <c r="F124" s="14">
        <v>80</v>
      </c>
      <c r="G124" s="15" t="s">
        <v>25</v>
      </c>
      <c r="H124" s="16">
        <f t="shared" si="5"/>
        <v>70</v>
      </c>
      <c r="I124" s="16">
        <f t="shared" si="6"/>
        <v>1</v>
      </c>
      <c r="J124" s="16">
        <f t="shared" si="7"/>
        <v>1</v>
      </c>
      <c r="K124" s="17" t="s">
        <v>53</v>
      </c>
      <c r="L124" s="18"/>
      <c r="M124" s="19"/>
      <c r="N124" s="19"/>
      <c r="O124" s="19"/>
      <c r="P124" s="20"/>
      <c r="Q124" s="20"/>
    </row>
    <row r="125" spans="1:18" x14ac:dyDescent="0.35">
      <c r="A125" s="1">
        <v>589</v>
      </c>
      <c r="B125" t="s">
        <v>67</v>
      </c>
      <c r="C125" t="s">
        <v>67</v>
      </c>
      <c r="D125" t="s">
        <v>67</v>
      </c>
      <c r="E125" t="s">
        <v>67</v>
      </c>
      <c r="F125" s="14">
        <v>0</v>
      </c>
      <c r="G125" s="15" t="s">
        <v>49</v>
      </c>
      <c r="H125" s="16">
        <f t="shared" si="5"/>
        <v>0</v>
      </c>
      <c r="I125" s="16">
        <f t="shared" si="6"/>
        <v>0</v>
      </c>
      <c r="J125" s="16">
        <f t="shared" si="7"/>
        <v>0</v>
      </c>
      <c r="K125" s="17" t="s">
        <v>48</v>
      </c>
      <c r="L125" s="18"/>
      <c r="M125" s="19"/>
      <c r="N125" s="19"/>
      <c r="O125" s="19"/>
      <c r="P125" s="20"/>
      <c r="Q125" s="20"/>
    </row>
    <row r="126" spans="1:18" x14ac:dyDescent="0.35">
      <c r="A126" s="1">
        <v>505</v>
      </c>
      <c r="B126" t="s">
        <v>67</v>
      </c>
      <c r="C126" t="s">
        <v>67</v>
      </c>
      <c r="D126" t="s">
        <v>67</v>
      </c>
      <c r="E126" t="s">
        <v>67</v>
      </c>
      <c r="F126" s="14">
        <v>0</v>
      </c>
      <c r="G126" s="15" t="s">
        <v>49</v>
      </c>
      <c r="H126" s="16">
        <f t="shared" si="5"/>
        <v>0</v>
      </c>
      <c r="I126" s="16">
        <f t="shared" si="6"/>
        <v>0</v>
      </c>
      <c r="J126" s="16">
        <f t="shared" si="7"/>
        <v>0</v>
      </c>
      <c r="K126" s="17" t="s">
        <v>48</v>
      </c>
      <c r="L126" s="18"/>
      <c r="M126" s="19"/>
      <c r="N126" s="19"/>
      <c r="O126" s="19"/>
      <c r="P126" s="20"/>
      <c r="Q126" s="20"/>
    </row>
    <row r="127" spans="1:18" x14ac:dyDescent="0.35">
      <c r="A127" s="1">
        <v>738</v>
      </c>
      <c r="B127" t="s">
        <v>67</v>
      </c>
      <c r="C127" t="s">
        <v>67</v>
      </c>
      <c r="D127" t="s">
        <v>67</v>
      </c>
      <c r="E127" t="s">
        <v>67</v>
      </c>
      <c r="F127" s="14">
        <v>0</v>
      </c>
      <c r="G127" s="15" t="s">
        <v>49</v>
      </c>
      <c r="H127" s="16">
        <f t="shared" si="5"/>
        <v>0</v>
      </c>
      <c r="I127" s="16">
        <f t="shared" si="6"/>
        <v>0</v>
      </c>
      <c r="J127" s="16">
        <f t="shared" si="7"/>
        <v>0</v>
      </c>
      <c r="K127" s="17" t="s">
        <v>48</v>
      </c>
      <c r="L127" s="18"/>
      <c r="M127" s="19"/>
      <c r="N127" s="19"/>
      <c r="O127" s="19"/>
      <c r="P127" s="20"/>
      <c r="Q127" s="20"/>
    </row>
    <row r="128" spans="1:18" x14ac:dyDescent="0.35">
      <c r="A128" s="1">
        <v>223</v>
      </c>
      <c r="B128" t="s">
        <v>24</v>
      </c>
      <c r="C128" t="s">
        <v>24</v>
      </c>
      <c r="D128" t="s">
        <v>24</v>
      </c>
      <c r="E128" t="s">
        <v>24</v>
      </c>
      <c r="F128" t="s">
        <v>24</v>
      </c>
      <c r="G128" t="s">
        <v>24</v>
      </c>
      <c r="H128" s="16" t="e">
        <f t="shared" si="5"/>
        <v>#N/A</v>
      </c>
      <c r="I128" s="16">
        <f t="shared" si="6"/>
        <v>1</v>
      </c>
      <c r="J128" s="16">
        <f t="shared" si="7"/>
        <v>1</v>
      </c>
      <c r="K128" s="17" t="s">
        <v>47</v>
      </c>
      <c r="L128" s="18"/>
      <c r="M128" s="19"/>
      <c r="N128" s="19"/>
      <c r="O128" s="19"/>
      <c r="P128" s="20"/>
      <c r="Q128" s="20"/>
    </row>
    <row r="129" spans="1:17" x14ac:dyDescent="0.35">
      <c r="A129" s="1">
        <v>482</v>
      </c>
      <c r="B129" t="s">
        <v>67</v>
      </c>
      <c r="C129" t="s">
        <v>67</v>
      </c>
      <c r="D129" t="s">
        <v>67</v>
      </c>
      <c r="E129" t="s">
        <v>67</v>
      </c>
      <c r="F129" s="14">
        <v>0</v>
      </c>
      <c r="G129" s="15" t="s">
        <v>49</v>
      </c>
      <c r="H129" s="16">
        <f t="shared" si="5"/>
        <v>0</v>
      </c>
      <c r="I129" s="16">
        <f t="shared" si="6"/>
        <v>0</v>
      </c>
      <c r="J129" s="16">
        <f t="shared" si="7"/>
        <v>0</v>
      </c>
      <c r="K129" s="17" t="s">
        <v>48</v>
      </c>
      <c r="L129" s="18"/>
      <c r="M129" s="19"/>
      <c r="N129" s="19"/>
      <c r="O129" s="19"/>
      <c r="P129" s="20"/>
      <c r="Q129" s="20"/>
    </row>
    <row r="130" spans="1:17" x14ac:dyDescent="0.35">
      <c r="A130" s="1">
        <v>360</v>
      </c>
      <c r="B130" t="s">
        <v>24</v>
      </c>
      <c r="C130" t="s">
        <v>24</v>
      </c>
      <c r="D130" t="s">
        <v>24</v>
      </c>
      <c r="E130" t="s">
        <v>24</v>
      </c>
      <c r="F130" s="14" t="s">
        <v>24</v>
      </c>
      <c r="G130" s="15" t="s">
        <v>24</v>
      </c>
      <c r="H130" s="16" t="e">
        <f t="shared" si="5"/>
        <v>#N/A</v>
      </c>
      <c r="I130" s="16">
        <f t="shared" si="6"/>
        <v>1</v>
      </c>
      <c r="J130" s="16">
        <f t="shared" si="7"/>
        <v>1</v>
      </c>
      <c r="K130" s="17" t="s">
        <v>51</v>
      </c>
      <c r="L130" s="18"/>
      <c r="M130" s="19"/>
      <c r="N130" s="19"/>
      <c r="O130" s="19"/>
      <c r="P130" s="20"/>
      <c r="Q130" s="20"/>
    </row>
    <row r="131" spans="1:17" x14ac:dyDescent="0.35">
      <c r="A131" s="1">
        <v>74</v>
      </c>
      <c r="B131" t="s">
        <v>67</v>
      </c>
      <c r="C131" t="s">
        <v>67</v>
      </c>
      <c r="D131" t="s">
        <v>67</v>
      </c>
      <c r="E131" t="s">
        <v>67</v>
      </c>
      <c r="F131" s="14">
        <v>50</v>
      </c>
      <c r="G131" s="15" t="s">
        <v>21</v>
      </c>
      <c r="H131" s="16">
        <f t="shared" si="5"/>
        <v>50</v>
      </c>
      <c r="I131" s="16">
        <f t="shared" si="6"/>
        <v>1</v>
      </c>
      <c r="J131" s="16">
        <f t="shared" si="7"/>
        <v>1</v>
      </c>
      <c r="K131" s="17" t="s">
        <v>48</v>
      </c>
      <c r="L131" s="18"/>
      <c r="M131" s="19"/>
      <c r="N131" s="19"/>
      <c r="O131" s="19"/>
      <c r="P131" s="20"/>
      <c r="Q131" s="20"/>
    </row>
    <row r="132" spans="1:17" x14ac:dyDescent="0.35">
      <c r="A132" s="1">
        <v>483</v>
      </c>
      <c r="B132" t="s">
        <v>67</v>
      </c>
      <c r="C132" t="s">
        <v>66</v>
      </c>
      <c r="D132" t="s">
        <v>67</v>
      </c>
      <c r="E132" t="s">
        <v>67</v>
      </c>
      <c r="F132" s="14">
        <v>5</v>
      </c>
      <c r="G132" s="15" t="s">
        <v>19</v>
      </c>
      <c r="H132" s="16">
        <f t="shared" ref="H132:H195" si="8">INDEX(U:U, MATCH(G132, T:T, 0))*F132</f>
        <v>1.25</v>
      </c>
      <c r="I132" s="16">
        <f t="shared" ref="I132:I195" si="9">IF(COUNTIF($T$3:$T$6, G132) &gt; 0, 0, 1)</f>
        <v>0</v>
      </c>
      <c r="J132" s="16">
        <f t="shared" ref="J132:J195" si="10">IF(COUNTIF(T$3:T$5, G132) &gt; 0, 0, 1)</f>
        <v>0</v>
      </c>
      <c r="K132" s="17" t="s">
        <v>48</v>
      </c>
      <c r="L132" s="18"/>
      <c r="M132" s="19"/>
      <c r="N132" s="19"/>
      <c r="O132" s="19"/>
      <c r="P132" s="20"/>
      <c r="Q132" s="20"/>
    </row>
    <row r="133" spans="1:17" x14ac:dyDescent="0.35">
      <c r="A133" s="1">
        <v>66</v>
      </c>
      <c r="B133" t="s">
        <v>67</v>
      </c>
      <c r="C133" t="s">
        <v>67</v>
      </c>
      <c r="D133" t="s">
        <v>67</v>
      </c>
      <c r="E133" t="s">
        <v>67</v>
      </c>
      <c r="F133" s="14">
        <v>0</v>
      </c>
      <c r="G133" s="15" t="s">
        <v>49</v>
      </c>
      <c r="H133" s="16">
        <f t="shared" si="8"/>
        <v>0</v>
      </c>
      <c r="I133" s="16">
        <f t="shared" si="9"/>
        <v>0</v>
      </c>
      <c r="J133" s="16">
        <f t="shared" si="10"/>
        <v>0</v>
      </c>
      <c r="K133" s="17" t="s">
        <v>48</v>
      </c>
      <c r="L133" s="18"/>
      <c r="M133" s="19"/>
      <c r="N133" s="19"/>
      <c r="O133" s="19"/>
      <c r="P133" s="20"/>
      <c r="Q133" s="20"/>
    </row>
    <row r="134" spans="1:17" x14ac:dyDescent="0.35">
      <c r="A134" s="1">
        <v>90</v>
      </c>
      <c r="B134" t="s">
        <v>66</v>
      </c>
      <c r="C134" t="s">
        <v>66</v>
      </c>
      <c r="D134" t="s">
        <v>67</v>
      </c>
      <c r="E134" t="s">
        <v>67</v>
      </c>
      <c r="F134" s="14">
        <v>5</v>
      </c>
      <c r="G134" s="15" t="s">
        <v>19</v>
      </c>
      <c r="H134" s="16">
        <f t="shared" si="8"/>
        <v>1.25</v>
      </c>
      <c r="I134" s="16">
        <f t="shared" si="9"/>
        <v>0</v>
      </c>
      <c r="J134" s="16">
        <f t="shared" si="10"/>
        <v>0</v>
      </c>
      <c r="K134" s="17" t="s">
        <v>48</v>
      </c>
      <c r="L134" s="18"/>
      <c r="M134" s="19"/>
      <c r="N134" s="19"/>
      <c r="O134" s="19"/>
      <c r="P134" s="20"/>
      <c r="Q134" s="20"/>
    </row>
    <row r="135" spans="1:17" x14ac:dyDescent="0.35">
      <c r="A135" s="1">
        <v>447</v>
      </c>
      <c r="B135" t="s">
        <v>67</v>
      </c>
      <c r="C135" t="s">
        <v>66</v>
      </c>
      <c r="D135" t="s">
        <v>67</v>
      </c>
      <c r="E135" t="s">
        <v>20</v>
      </c>
      <c r="F135" s="14">
        <v>25</v>
      </c>
      <c r="G135" s="15" t="s">
        <v>30</v>
      </c>
      <c r="H135" s="16">
        <f t="shared" si="8"/>
        <v>21.875</v>
      </c>
      <c r="I135" s="16">
        <f t="shared" si="9"/>
        <v>1</v>
      </c>
      <c r="J135" s="16">
        <f t="shared" si="10"/>
        <v>1</v>
      </c>
      <c r="K135" s="17" t="s">
        <v>48</v>
      </c>
      <c r="L135" s="18"/>
      <c r="M135" s="19"/>
      <c r="N135" s="19"/>
      <c r="O135" s="19"/>
      <c r="P135" s="20"/>
      <c r="Q135" s="20"/>
    </row>
    <row r="136" spans="1:17" x14ac:dyDescent="0.35">
      <c r="A136" s="1">
        <v>745</v>
      </c>
      <c r="B136" t="s">
        <v>24</v>
      </c>
      <c r="C136" t="s">
        <v>24</v>
      </c>
      <c r="D136" t="s">
        <v>24</v>
      </c>
      <c r="E136" t="s">
        <v>24</v>
      </c>
      <c r="F136" t="s">
        <v>24</v>
      </c>
      <c r="G136" t="s">
        <v>24</v>
      </c>
      <c r="H136" s="16" t="e">
        <f t="shared" si="8"/>
        <v>#N/A</v>
      </c>
      <c r="I136" s="16">
        <f t="shared" si="9"/>
        <v>1</v>
      </c>
      <c r="J136" s="16">
        <f t="shared" si="10"/>
        <v>1</v>
      </c>
      <c r="K136" s="17" t="s">
        <v>47</v>
      </c>
      <c r="L136" s="18"/>
      <c r="M136" s="19"/>
      <c r="N136" s="19"/>
      <c r="O136" s="19"/>
      <c r="P136" s="20"/>
      <c r="Q136" s="20"/>
    </row>
    <row r="137" spans="1:17" x14ac:dyDescent="0.35">
      <c r="A137" s="1">
        <v>674</v>
      </c>
      <c r="B137" t="s">
        <v>66</v>
      </c>
      <c r="C137" t="s">
        <v>67</v>
      </c>
      <c r="D137" t="s">
        <v>67</v>
      </c>
      <c r="E137" t="s">
        <v>67</v>
      </c>
      <c r="F137" s="14">
        <v>5</v>
      </c>
      <c r="G137" s="15" t="s">
        <v>19</v>
      </c>
      <c r="H137" s="16">
        <f t="shared" si="8"/>
        <v>1.25</v>
      </c>
      <c r="I137" s="16">
        <f t="shared" si="9"/>
        <v>0</v>
      </c>
      <c r="J137" s="16">
        <f t="shared" si="10"/>
        <v>0</v>
      </c>
      <c r="K137" s="17" t="s">
        <v>48</v>
      </c>
      <c r="L137" s="18"/>
      <c r="M137" s="19"/>
      <c r="N137" s="19"/>
      <c r="O137" s="19"/>
      <c r="P137" s="20"/>
      <c r="Q137" s="20"/>
    </row>
    <row r="138" spans="1:17" x14ac:dyDescent="0.35">
      <c r="A138" s="1">
        <v>375</v>
      </c>
      <c r="B138" t="s">
        <v>24</v>
      </c>
      <c r="C138" t="s">
        <v>24</v>
      </c>
      <c r="D138" t="s">
        <v>24</v>
      </c>
      <c r="E138" t="s">
        <v>24</v>
      </c>
      <c r="F138" s="14" t="s">
        <v>24</v>
      </c>
      <c r="G138" s="15" t="s">
        <v>24</v>
      </c>
      <c r="H138" s="16" t="e">
        <f t="shared" si="8"/>
        <v>#N/A</v>
      </c>
      <c r="I138" s="16">
        <f t="shared" si="9"/>
        <v>1</v>
      </c>
      <c r="J138" s="16">
        <f t="shared" si="10"/>
        <v>1</v>
      </c>
      <c r="K138" s="17" t="s">
        <v>51</v>
      </c>
      <c r="L138" s="18"/>
      <c r="M138" s="19"/>
      <c r="N138" s="19"/>
      <c r="O138" s="19"/>
      <c r="P138" s="20"/>
      <c r="Q138" s="20"/>
    </row>
    <row r="139" spans="1:17" x14ac:dyDescent="0.35">
      <c r="A139" s="1">
        <v>749</v>
      </c>
      <c r="B139" t="s">
        <v>67</v>
      </c>
      <c r="C139" t="s">
        <v>67</v>
      </c>
      <c r="D139" t="s">
        <v>67</v>
      </c>
      <c r="E139" t="s">
        <v>67</v>
      </c>
      <c r="F139" s="14">
        <v>0</v>
      </c>
      <c r="G139" s="15" t="s">
        <v>49</v>
      </c>
      <c r="H139" s="16">
        <f t="shared" si="8"/>
        <v>0</v>
      </c>
      <c r="I139" s="16">
        <f t="shared" si="9"/>
        <v>0</v>
      </c>
      <c r="J139" s="16">
        <f t="shared" si="10"/>
        <v>0</v>
      </c>
      <c r="K139" s="17" t="s">
        <v>48</v>
      </c>
      <c r="L139" s="18"/>
      <c r="M139" s="19"/>
      <c r="N139" s="19"/>
      <c r="O139" s="19"/>
      <c r="P139" s="20"/>
      <c r="Q139" s="20"/>
    </row>
    <row r="140" spans="1:17" x14ac:dyDescent="0.35">
      <c r="A140" s="1">
        <v>671</v>
      </c>
      <c r="B140" t="s">
        <v>67</v>
      </c>
      <c r="C140" t="s">
        <v>66</v>
      </c>
      <c r="D140" t="s">
        <v>67</v>
      </c>
      <c r="E140" t="s">
        <v>20</v>
      </c>
      <c r="F140" s="14">
        <v>20</v>
      </c>
      <c r="G140" s="15" t="s">
        <v>25</v>
      </c>
      <c r="H140" s="16">
        <f t="shared" si="8"/>
        <v>17.5</v>
      </c>
      <c r="I140" s="16">
        <f t="shared" si="9"/>
        <v>1</v>
      </c>
      <c r="J140" s="16">
        <f t="shared" si="10"/>
        <v>1</v>
      </c>
      <c r="K140" s="17" t="s">
        <v>48</v>
      </c>
      <c r="L140" s="18"/>
      <c r="M140" s="19"/>
      <c r="N140" s="19"/>
      <c r="O140" s="19"/>
      <c r="P140" s="20"/>
      <c r="Q140" s="20"/>
    </row>
    <row r="141" spans="1:17" x14ac:dyDescent="0.35">
      <c r="A141" s="1">
        <v>742</v>
      </c>
      <c r="B141" t="s">
        <v>24</v>
      </c>
      <c r="C141" t="s">
        <v>24</v>
      </c>
      <c r="D141" t="s">
        <v>24</v>
      </c>
      <c r="E141" t="s">
        <v>24</v>
      </c>
      <c r="F141" s="14" t="s">
        <v>24</v>
      </c>
      <c r="G141" s="15" t="s">
        <v>24</v>
      </c>
      <c r="H141" s="16" t="e">
        <f t="shared" si="8"/>
        <v>#N/A</v>
      </c>
      <c r="I141" s="16">
        <f t="shared" si="9"/>
        <v>1</v>
      </c>
      <c r="J141" s="16">
        <f t="shared" si="10"/>
        <v>1</v>
      </c>
      <c r="K141" s="17" t="s">
        <v>54</v>
      </c>
      <c r="L141" s="18"/>
      <c r="M141" s="19"/>
      <c r="N141" s="19"/>
      <c r="O141" s="19"/>
      <c r="P141" s="20"/>
      <c r="Q141" s="20"/>
    </row>
    <row r="142" spans="1:17" x14ac:dyDescent="0.35">
      <c r="A142" s="1">
        <v>663</v>
      </c>
      <c r="B142" t="s">
        <v>24</v>
      </c>
      <c r="C142" t="s">
        <v>24</v>
      </c>
      <c r="D142" t="s">
        <v>24</v>
      </c>
      <c r="E142" t="s">
        <v>24</v>
      </c>
      <c r="F142" t="s">
        <v>24</v>
      </c>
      <c r="G142" t="s">
        <v>24</v>
      </c>
      <c r="H142" s="16" t="e">
        <f t="shared" si="8"/>
        <v>#N/A</v>
      </c>
      <c r="I142" s="16">
        <f t="shared" si="9"/>
        <v>1</v>
      </c>
      <c r="J142" s="16">
        <f t="shared" si="10"/>
        <v>1</v>
      </c>
      <c r="K142" s="17" t="s">
        <v>47</v>
      </c>
      <c r="L142" s="18"/>
      <c r="M142" s="19"/>
      <c r="N142" s="19"/>
      <c r="O142" s="19"/>
      <c r="P142" s="20"/>
      <c r="Q142" s="20"/>
    </row>
    <row r="143" spans="1:17" x14ac:dyDescent="0.35">
      <c r="A143" s="1">
        <v>522</v>
      </c>
      <c r="B143" t="s">
        <v>67</v>
      </c>
      <c r="C143" t="s">
        <v>67</v>
      </c>
      <c r="D143" t="s">
        <v>67</v>
      </c>
      <c r="E143" t="s">
        <v>67</v>
      </c>
      <c r="F143" s="14">
        <v>0</v>
      </c>
      <c r="G143" s="15" t="s">
        <v>49</v>
      </c>
      <c r="H143" s="16">
        <f t="shared" si="8"/>
        <v>0</v>
      </c>
      <c r="I143" s="16">
        <f t="shared" si="9"/>
        <v>0</v>
      </c>
      <c r="J143" s="16">
        <f t="shared" si="10"/>
        <v>0</v>
      </c>
      <c r="K143" s="17" t="s">
        <v>48</v>
      </c>
      <c r="L143" s="18"/>
      <c r="M143" s="19"/>
      <c r="N143" s="19"/>
      <c r="O143" s="19"/>
      <c r="P143" s="20"/>
      <c r="Q143" s="20"/>
    </row>
    <row r="144" spans="1:17" x14ac:dyDescent="0.35">
      <c r="A144" s="1">
        <v>694</v>
      </c>
      <c r="B144" t="s">
        <v>67</v>
      </c>
      <c r="C144" t="s">
        <v>67</v>
      </c>
      <c r="D144" t="s">
        <v>67</v>
      </c>
      <c r="E144" t="s">
        <v>67</v>
      </c>
      <c r="F144" s="14">
        <v>0</v>
      </c>
      <c r="G144" s="15" t="s">
        <v>49</v>
      </c>
      <c r="H144" s="16">
        <f t="shared" si="8"/>
        <v>0</v>
      </c>
      <c r="I144" s="16">
        <f t="shared" si="9"/>
        <v>0</v>
      </c>
      <c r="J144" s="16">
        <f t="shared" si="10"/>
        <v>0</v>
      </c>
      <c r="K144" s="17" t="s">
        <v>48</v>
      </c>
      <c r="L144" s="18"/>
      <c r="M144" s="19"/>
      <c r="N144" s="19"/>
      <c r="O144" s="19"/>
      <c r="P144" s="20"/>
      <c r="Q144" s="20"/>
    </row>
    <row r="145" spans="1:17" x14ac:dyDescent="0.35">
      <c r="A145" s="1">
        <v>433</v>
      </c>
      <c r="B145" t="s">
        <v>67</v>
      </c>
      <c r="C145" t="s">
        <v>66</v>
      </c>
      <c r="D145" t="s">
        <v>67</v>
      </c>
      <c r="E145" t="s">
        <v>55</v>
      </c>
      <c r="F145" s="14">
        <v>10</v>
      </c>
      <c r="G145" s="15" t="s">
        <v>30</v>
      </c>
      <c r="H145" s="16">
        <f t="shared" si="8"/>
        <v>8.75</v>
      </c>
      <c r="I145" s="16">
        <f t="shared" si="9"/>
        <v>1</v>
      </c>
      <c r="J145" s="16">
        <f t="shared" si="10"/>
        <v>1</v>
      </c>
      <c r="K145" s="17" t="s">
        <v>53</v>
      </c>
      <c r="L145" s="18"/>
      <c r="M145" s="19"/>
      <c r="N145" s="19"/>
      <c r="O145" s="19"/>
      <c r="P145" s="20"/>
      <c r="Q145" s="20"/>
    </row>
    <row r="146" spans="1:17" x14ac:dyDescent="0.35">
      <c r="A146" s="1">
        <v>590</v>
      </c>
      <c r="B146" t="s">
        <v>66</v>
      </c>
      <c r="C146" t="s">
        <v>67</v>
      </c>
      <c r="D146" t="s">
        <v>67</v>
      </c>
      <c r="E146" t="s">
        <v>67</v>
      </c>
      <c r="F146" s="14">
        <v>5</v>
      </c>
      <c r="G146" s="15" t="s">
        <v>19</v>
      </c>
      <c r="H146" s="16">
        <f t="shared" si="8"/>
        <v>1.25</v>
      </c>
      <c r="I146" s="16">
        <f t="shared" si="9"/>
        <v>0</v>
      </c>
      <c r="J146" s="16">
        <f t="shared" si="10"/>
        <v>0</v>
      </c>
      <c r="K146" s="17" t="s">
        <v>48</v>
      </c>
      <c r="L146" s="18"/>
      <c r="M146" s="19"/>
      <c r="N146" s="19"/>
      <c r="O146" s="19"/>
      <c r="P146" s="20"/>
      <c r="Q146" s="20"/>
    </row>
    <row r="147" spans="1:17" x14ac:dyDescent="0.35">
      <c r="A147" s="1">
        <v>316</v>
      </c>
      <c r="B147" t="s">
        <v>67</v>
      </c>
      <c r="C147" t="s">
        <v>66</v>
      </c>
      <c r="D147" t="s">
        <v>67</v>
      </c>
      <c r="E147" t="s">
        <v>68</v>
      </c>
      <c r="F147" s="14">
        <v>30</v>
      </c>
      <c r="G147" s="15" t="s">
        <v>22</v>
      </c>
      <c r="H147" s="16">
        <f t="shared" si="8"/>
        <v>15</v>
      </c>
      <c r="I147" s="16">
        <f t="shared" si="9"/>
        <v>0</v>
      </c>
      <c r="J147" s="16">
        <f t="shared" si="10"/>
        <v>1</v>
      </c>
      <c r="K147" s="17" t="s">
        <v>48</v>
      </c>
      <c r="L147" s="18"/>
      <c r="M147" s="19"/>
      <c r="N147" s="19"/>
      <c r="O147" s="19"/>
      <c r="P147" s="20"/>
      <c r="Q147" s="20"/>
    </row>
    <row r="148" spans="1:17" x14ac:dyDescent="0.35">
      <c r="A148" s="1">
        <v>146</v>
      </c>
      <c r="B148" t="s">
        <v>67</v>
      </c>
      <c r="C148" t="s">
        <v>66</v>
      </c>
      <c r="D148" t="s">
        <v>67</v>
      </c>
      <c r="E148" t="s">
        <v>67</v>
      </c>
      <c r="F148" s="14">
        <v>5</v>
      </c>
      <c r="G148" s="15" t="s">
        <v>38</v>
      </c>
      <c r="H148" s="16">
        <f t="shared" si="8"/>
        <v>1.25</v>
      </c>
      <c r="I148" s="16">
        <f t="shared" si="9"/>
        <v>0</v>
      </c>
      <c r="J148" s="16">
        <f t="shared" si="10"/>
        <v>0</v>
      </c>
      <c r="K148" s="17" t="s">
        <v>48</v>
      </c>
      <c r="L148" s="18"/>
      <c r="M148" s="19"/>
      <c r="N148" s="19"/>
      <c r="O148" s="19"/>
      <c r="P148" s="20"/>
      <c r="Q148" s="20"/>
    </row>
    <row r="149" spans="1:17" x14ac:dyDescent="0.35">
      <c r="A149" s="1">
        <v>211</v>
      </c>
      <c r="B149" t="s">
        <v>67</v>
      </c>
      <c r="C149" t="s">
        <v>66</v>
      </c>
      <c r="D149" t="s">
        <v>67</v>
      </c>
      <c r="E149" t="s">
        <v>67</v>
      </c>
      <c r="F149" s="14">
        <v>5</v>
      </c>
      <c r="G149" s="15" t="s">
        <v>38</v>
      </c>
      <c r="H149" s="16">
        <f t="shared" si="8"/>
        <v>1.25</v>
      </c>
      <c r="I149" s="16">
        <f t="shared" si="9"/>
        <v>0</v>
      </c>
      <c r="J149" s="16">
        <f t="shared" si="10"/>
        <v>0</v>
      </c>
      <c r="K149" s="17" t="s">
        <v>48</v>
      </c>
      <c r="L149" s="18"/>
      <c r="M149" s="19"/>
      <c r="N149" s="19"/>
      <c r="O149" s="19"/>
      <c r="P149" s="20"/>
      <c r="Q149" s="20"/>
    </row>
    <row r="150" spans="1:17" x14ac:dyDescent="0.35">
      <c r="A150" s="1">
        <v>633</v>
      </c>
      <c r="B150" t="s">
        <v>67</v>
      </c>
      <c r="C150" t="s">
        <v>67</v>
      </c>
      <c r="D150" t="s">
        <v>67</v>
      </c>
      <c r="E150" t="s">
        <v>20</v>
      </c>
      <c r="F150" s="14">
        <v>25</v>
      </c>
      <c r="G150" s="15" t="s">
        <v>21</v>
      </c>
      <c r="H150" s="16">
        <f t="shared" si="8"/>
        <v>25</v>
      </c>
      <c r="I150" s="16">
        <f t="shared" si="9"/>
        <v>1</v>
      </c>
      <c r="J150" s="16">
        <f t="shared" si="10"/>
        <v>1</v>
      </c>
      <c r="K150" s="17" t="s">
        <v>48</v>
      </c>
      <c r="L150" s="18"/>
      <c r="M150" s="19"/>
      <c r="N150" s="19"/>
      <c r="O150" s="19"/>
      <c r="P150" s="20"/>
      <c r="Q150" s="20"/>
    </row>
    <row r="151" spans="1:17" x14ac:dyDescent="0.35">
      <c r="A151" s="1">
        <v>435</v>
      </c>
      <c r="B151" t="s">
        <v>66</v>
      </c>
      <c r="C151" t="s">
        <v>66</v>
      </c>
      <c r="D151" t="s">
        <v>67</v>
      </c>
      <c r="E151" t="s">
        <v>20</v>
      </c>
      <c r="F151" s="14">
        <v>35</v>
      </c>
      <c r="G151" s="15" t="s">
        <v>21</v>
      </c>
      <c r="H151" s="16">
        <f t="shared" si="8"/>
        <v>35</v>
      </c>
      <c r="I151" s="16">
        <f t="shared" si="9"/>
        <v>1</v>
      </c>
      <c r="J151" s="16">
        <f t="shared" si="10"/>
        <v>1</v>
      </c>
      <c r="K151" s="17" t="s">
        <v>56</v>
      </c>
      <c r="L151" s="18"/>
      <c r="M151" s="19"/>
      <c r="N151" s="19"/>
      <c r="O151" s="19"/>
      <c r="P151" s="20"/>
      <c r="Q151" s="20"/>
    </row>
    <row r="152" spans="1:17" x14ac:dyDescent="0.35">
      <c r="A152" s="1">
        <v>469</v>
      </c>
      <c r="B152" t="s">
        <v>67</v>
      </c>
      <c r="C152" t="s">
        <v>66</v>
      </c>
      <c r="D152" t="s">
        <v>67</v>
      </c>
      <c r="E152" t="s">
        <v>68</v>
      </c>
      <c r="F152" s="14">
        <v>20</v>
      </c>
      <c r="G152" s="15" t="s">
        <v>22</v>
      </c>
      <c r="H152" s="16">
        <f t="shared" si="8"/>
        <v>10</v>
      </c>
      <c r="I152" s="16">
        <f t="shared" si="9"/>
        <v>0</v>
      </c>
      <c r="J152" s="16">
        <f t="shared" si="10"/>
        <v>1</v>
      </c>
      <c r="K152" s="17"/>
      <c r="L152" s="18"/>
      <c r="M152" s="19"/>
      <c r="N152" s="19"/>
      <c r="O152" s="19"/>
      <c r="P152" s="20"/>
      <c r="Q152" s="20"/>
    </row>
    <row r="153" spans="1:17" x14ac:dyDescent="0.35">
      <c r="A153" s="1">
        <v>170</v>
      </c>
      <c r="B153" t="s">
        <v>67</v>
      </c>
      <c r="C153" t="s">
        <v>66</v>
      </c>
      <c r="D153" t="s">
        <v>67</v>
      </c>
      <c r="E153" t="s">
        <v>20</v>
      </c>
      <c r="F153" s="14">
        <v>20</v>
      </c>
      <c r="G153" s="15" t="s">
        <v>25</v>
      </c>
      <c r="H153" s="16">
        <f t="shared" si="8"/>
        <v>17.5</v>
      </c>
      <c r="I153" s="16">
        <f t="shared" si="9"/>
        <v>1</v>
      </c>
      <c r="J153" s="16">
        <f t="shared" si="10"/>
        <v>1</v>
      </c>
      <c r="K153" s="17" t="s">
        <v>57</v>
      </c>
      <c r="L153" s="18"/>
      <c r="M153" s="19"/>
      <c r="N153" s="19"/>
      <c r="O153" s="19"/>
      <c r="P153" s="20"/>
      <c r="Q153" s="20"/>
    </row>
    <row r="154" spans="1:17" x14ac:dyDescent="0.35">
      <c r="A154" s="1">
        <v>337</v>
      </c>
      <c r="B154" t="s">
        <v>67</v>
      </c>
      <c r="C154" t="s">
        <v>67</v>
      </c>
      <c r="D154" t="s">
        <v>67</v>
      </c>
      <c r="E154" t="s">
        <v>67</v>
      </c>
      <c r="F154" s="14">
        <v>0</v>
      </c>
      <c r="G154" s="15" t="s">
        <v>49</v>
      </c>
      <c r="H154" s="16">
        <f t="shared" si="8"/>
        <v>0</v>
      </c>
      <c r="I154" s="16">
        <f t="shared" si="9"/>
        <v>0</v>
      </c>
      <c r="J154" s="16">
        <f t="shared" si="10"/>
        <v>0</v>
      </c>
      <c r="K154" s="17"/>
      <c r="L154" s="18"/>
      <c r="M154" s="19"/>
      <c r="N154" s="19"/>
      <c r="O154" s="19"/>
      <c r="P154" s="20"/>
      <c r="Q154" s="20"/>
    </row>
    <row r="155" spans="1:17" x14ac:dyDescent="0.35">
      <c r="A155" s="1">
        <v>354</v>
      </c>
      <c r="B155" t="s">
        <v>67</v>
      </c>
      <c r="C155" t="s">
        <v>66</v>
      </c>
      <c r="D155" t="s">
        <v>67</v>
      </c>
      <c r="E155" t="s">
        <v>20</v>
      </c>
      <c r="F155" s="14">
        <v>40</v>
      </c>
      <c r="G155" s="15" t="s">
        <v>25</v>
      </c>
      <c r="H155" s="16">
        <f t="shared" si="8"/>
        <v>35</v>
      </c>
      <c r="I155" s="16">
        <f t="shared" si="9"/>
        <v>1</v>
      </c>
      <c r="J155" s="16">
        <f t="shared" si="10"/>
        <v>1</v>
      </c>
      <c r="K155" s="17"/>
      <c r="L155" s="18"/>
      <c r="M155" s="19"/>
      <c r="N155" s="19"/>
      <c r="O155" s="19"/>
      <c r="P155" s="20"/>
      <c r="Q155" s="20"/>
    </row>
    <row r="156" spans="1:17" x14ac:dyDescent="0.35">
      <c r="A156" s="1">
        <v>579</v>
      </c>
      <c r="B156" t="s">
        <v>67</v>
      </c>
      <c r="C156" t="s">
        <v>67</v>
      </c>
      <c r="D156" t="s">
        <v>67</v>
      </c>
      <c r="E156" t="s">
        <v>67</v>
      </c>
      <c r="F156" s="14">
        <v>0</v>
      </c>
      <c r="G156" s="15" t="s">
        <v>49</v>
      </c>
      <c r="H156" s="16">
        <f t="shared" si="8"/>
        <v>0</v>
      </c>
      <c r="I156" s="16">
        <f t="shared" si="9"/>
        <v>0</v>
      </c>
      <c r="J156" s="16">
        <f t="shared" si="10"/>
        <v>0</v>
      </c>
      <c r="K156" s="17"/>
      <c r="L156" s="18"/>
      <c r="M156" s="19"/>
      <c r="N156" s="19"/>
      <c r="O156" s="19"/>
      <c r="P156" s="20"/>
      <c r="Q156" s="20"/>
    </row>
    <row r="157" spans="1:17" x14ac:dyDescent="0.35">
      <c r="A157" s="1">
        <v>613</v>
      </c>
      <c r="B157" t="s">
        <v>67</v>
      </c>
      <c r="C157" t="s">
        <v>66</v>
      </c>
      <c r="D157" t="s">
        <v>67</v>
      </c>
      <c r="E157" t="s">
        <v>68</v>
      </c>
      <c r="F157" s="14">
        <v>15</v>
      </c>
      <c r="G157" s="15" t="s">
        <v>58</v>
      </c>
      <c r="H157" s="16">
        <f t="shared" si="8"/>
        <v>7.5</v>
      </c>
      <c r="I157" s="16">
        <f t="shared" si="9"/>
        <v>0</v>
      </c>
      <c r="J157" s="16">
        <f t="shared" si="10"/>
        <v>1</v>
      </c>
      <c r="K157" s="17"/>
      <c r="L157" s="18"/>
      <c r="M157" s="19"/>
      <c r="N157" s="19"/>
      <c r="O157" s="19"/>
      <c r="P157" s="20"/>
      <c r="Q157" s="20"/>
    </row>
    <row r="158" spans="1:17" x14ac:dyDescent="0.35">
      <c r="A158" s="1">
        <v>504</v>
      </c>
      <c r="B158" t="s">
        <v>67</v>
      </c>
      <c r="C158" t="s">
        <v>67</v>
      </c>
      <c r="D158" t="s">
        <v>67</v>
      </c>
      <c r="E158" t="s">
        <v>20</v>
      </c>
      <c r="F158" s="14">
        <v>10</v>
      </c>
      <c r="G158" s="15" t="s">
        <v>21</v>
      </c>
      <c r="H158" s="16">
        <f t="shared" si="8"/>
        <v>10</v>
      </c>
      <c r="I158" s="16">
        <f t="shared" si="9"/>
        <v>1</v>
      </c>
      <c r="J158" s="16">
        <f t="shared" si="10"/>
        <v>1</v>
      </c>
      <c r="K158" s="17"/>
      <c r="L158" s="18"/>
      <c r="M158" s="19"/>
      <c r="N158" s="19"/>
      <c r="O158" s="19"/>
      <c r="P158" s="20"/>
      <c r="Q158" s="20"/>
    </row>
    <row r="159" spans="1:17" x14ac:dyDescent="0.35">
      <c r="A159" s="1">
        <v>463</v>
      </c>
      <c r="B159" t="s">
        <v>67</v>
      </c>
      <c r="C159" t="s">
        <v>66</v>
      </c>
      <c r="D159" t="s">
        <v>67</v>
      </c>
      <c r="E159" t="s">
        <v>67</v>
      </c>
      <c r="F159" s="14">
        <v>25</v>
      </c>
      <c r="G159" s="15" t="s">
        <v>19</v>
      </c>
      <c r="H159" s="16">
        <f t="shared" si="8"/>
        <v>6.25</v>
      </c>
      <c r="I159" s="16">
        <f t="shared" si="9"/>
        <v>0</v>
      </c>
      <c r="J159" s="16">
        <f t="shared" si="10"/>
        <v>0</v>
      </c>
      <c r="K159" s="17"/>
      <c r="L159" s="18"/>
      <c r="M159" s="19"/>
      <c r="N159" s="19"/>
      <c r="O159" s="19"/>
      <c r="P159" s="20"/>
      <c r="Q159" s="20"/>
    </row>
    <row r="160" spans="1:17" x14ac:dyDescent="0.35">
      <c r="A160" s="1">
        <v>468</v>
      </c>
      <c r="B160" t="s">
        <v>67</v>
      </c>
      <c r="C160" t="s">
        <v>67</v>
      </c>
      <c r="D160" t="s">
        <v>67</v>
      </c>
      <c r="E160" t="s">
        <v>67</v>
      </c>
      <c r="F160" s="14">
        <v>0</v>
      </c>
      <c r="G160" s="15" t="s">
        <v>49</v>
      </c>
      <c r="H160" s="16">
        <f t="shared" si="8"/>
        <v>0</v>
      </c>
      <c r="I160" s="16">
        <f t="shared" si="9"/>
        <v>0</v>
      </c>
      <c r="J160" s="16">
        <f t="shared" si="10"/>
        <v>0</v>
      </c>
      <c r="K160" s="17"/>
      <c r="L160" s="18"/>
      <c r="M160" s="19"/>
      <c r="N160" s="19"/>
      <c r="O160" s="19"/>
      <c r="P160" s="20"/>
      <c r="Q160" s="20"/>
    </row>
    <row r="161" spans="1:17" x14ac:dyDescent="0.35">
      <c r="A161" s="1">
        <v>244</v>
      </c>
      <c r="B161" t="s">
        <v>66</v>
      </c>
      <c r="C161" t="s">
        <v>67</v>
      </c>
      <c r="D161" t="s">
        <v>67</v>
      </c>
      <c r="E161" t="s">
        <v>67</v>
      </c>
      <c r="F161" s="14">
        <v>5</v>
      </c>
      <c r="G161" s="15" t="s">
        <v>19</v>
      </c>
      <c r="H161" s="16">
        <f t="shared" si="8"/>
        <v>1.25</v>
      </c>
      <c r="I161" s="16">
        <f t="shared" si="9"/>
        <v>0</v>
      </c>
      <c r="J161" s="16">
        <f t="shared" si="10"/>
        <v>0</v>
      </c>
      <c r="K161" s="17"/>
      <c r="L161" s="18"/>
      <c r="M161" s="19"/>
      <c r="N161" s="19"/>
      <c r="O161" s="19"/>
      <c r="P161" s="20"/>
      <c r="Q161" s="20"/>
    </row>
    <row r="162" spans="1:17" x14ac:dyDescent="0.35">
      <c r="A162" s="1">
        <v>86</v>
      </c>
      <c r="B162" t="s">
        <v>67</v>
      </c>
      <c r="C162" t="s">
        <v>67</v>
      </c>
      <c r="D162" t="s">
        <v>67</v>
      </c>
      <c r="E162" t="s">
        <v>67</v>
      </c>
      <c r="F162" s="14">
        <v>0</v>
      </c>
      <c r="G162" s="15" t="s">
        <v>49</v>
      </c>
      <c r="H162" s="16">
        <f t="shared" si="8"/>
        <v>0</v>
      </c>
      <c r="I162" s="16">
        <f t="shared" si="9"/>
        <v>0</v>
      </c>
      <c r="J162" s="16">
        <f t="shared" si="10"/>
        <v>0</v>
      </c>
      <c r="K162" s="17"/>
      <c r="L162" s="18"/>
      <c r="M162" s="19"/>
      <c r="N162" s="19"/>
      <c r="O162" s="19"/>
      <c r="P162" s="20"/>
      <c r="Q162" s="20"/>
    </row>
    <row r="163" spans="1:17" x14ac:dyDescent="0.35">
      <c r="A163" s="1">
        <v>536</v>
      </c>
      <c r="B163" t="s">
        <v>67</v>
      </c>
      <c r="C163" t="s">
        <v>67</v>
      </c>
      <c r="D163" t="s">
        <v>67</v>
      </c>
      <c r="E163" t="s">
        <v>67</v>
      </c>
      <c r="F163" s="14">
        <v>0</v>
      </c>
      <c r="G163" s="15" t="s">
        <v>49</v>
      </c>
      <c r="H163" s="16">
        <f t="shared" si="8"/>
        <v>0</v>
      </c>
      <c r="I163" s="16">
        <f t="shared" si="9"/>
        <v>0</v>
      </c>
      <c r="J163" s="16">
        <f t="shared" si="10"/>
        <v>0</v>
      </c>
      <c r="K163" s="17"/>
      <c r="L163" s="18"/>
      <c r="M163" s="19"/>
      <c r="N163" s="19"/>
      <c r="O163" s="19"/>
      <c r="P163" s="20"/>
      <c r="Q163" s="20"/>
    </row>
    <row r="164" spans="1:17" x14ac:dyDescent="0.35">
      <c r="A164" s="1">
        <v>110</v>
      </c>
      <c r="B164" t="s">
        <v>67</v>
      </c>
      <c r="C164" t="s">
        <v>67</v>
      </c>
      <c r="D164" t="s">
        <v>67</v>
      </c>
      <c r="E164" t="s">
        <v>67</v>
      </c>
      <c r="F164" s="14">
        <v>0</v>
      </c>
      <c r="G164" s="15" t="s">
        <v>49</v>
      </c>
      <c r="H164" s="16">
        <f t="shared" si="8"/>
        <v>0</v>
      </c>
      <c r="I164" s="16">
        <f t="shared" si="9"/>
        <v>0</v>
      </c>
      <c r="J164" s="16">
        <f t="shared" si="10"/>
        <v>0</v>
      </c>
      <c r="K164" s="17"/>
      <c r="L164" s="18"/>
      <c r="M164" s="19"/>
      <c r="N164" s="19"/>
      <c r="O164" s="19"/>
      <c r="P164" s="20"/>
      <c r="Q164" s="20"/>
    </row>
    <row r="165" spans="1:17" x14ac:dyDescent="0.35">
      <c r="A165" s="1">
        <v>731</v>
      </c>
      <c r="B165" t="s">
        <v>67</v>
      </c>
      <c r="C165" t="s">
        <v>67</v>
      </c>
      <c r="D165" t="s">
        <v>67</v>
      </c>
      <c r="E165" t="s">
        <v>67</v>
      </c>
      <c r="F165" s="14">
        <v>0</v>
      </c>
      <c r="G165" s="15" t="s">
        <v>49</v>
      </c>
      <c r="H165" s="16">
        <f t="shared" si="8"/>
        <v>0</v>
      </c>
      <c r="I165" s="16">
        <f t="shared" si="9"/>
        <v>0</v>
      </c>
      <c r="J165" s="16">
        <f t="shared" si="10"/>
        <v>0</v>
      </c>
      <c r="K165" s="17"/>
      <c r="L165" s="18"/>
      <c r="M165" s="19"/>
      <c r="N165" s="19"/>
      <c r="O165" s="19"/>
      <c r="P165" s="20"/>
      <c r="Q165" s="20"/>
    </row>
    <row r="166" spans="1:17" x14ac:dyDescent="0.35">
      <c r="A166" s="1">
        <v>658</v>
      </c>
      <c r="B166" t="s">
        <v>67</v>
      </c>
      <c r="C166" t="s">
        <v>66</v>
      </c>
      <c r="D166" t="s">
        <v>67</v>
      </c>
      <c r="E166" t="s">
        <v>20</v>
      </c>
      <c r="F166" s="14">
        <v>90</v>
      </c>
      <c r="G166" s="15" t="s">
        <v>25</v>
      </c>
      <c r="H166" s="16">
        <f t="shared" si="8"/>
        <v>78.75</v>
      </c>
      <c r="I166" s="16">
        <f t="shared" si="9"/>
        <v>1</v>
      </c>
      <c r="J166" s="16">
        <f t="shared" si="10"/>
        <v>1</v>
      </c>
      <c r="K166" s="17"/>
      <c r="L166" s="18"/>
      <c r="M166" s="19"/>
      <c r="N166" s="19"/>
      <c r="O166" s="19"/>
      <c r="P166" s="20"/>
      <c r="Q166" s="20"/>
    </row>
    <row r="167" spans="1:17" x14ac:dyDescent="0.35">
      <c r="A167" s="1">
        <v>239</v>
      </c>
      <c r="B167" t="s">
        <v>67</v>
      </c>
      <c r="C167" t="s">
        <v>66</v>
      </c>
      <c r="D167" t="s">
        <v>67</v>
      </c>
      <c r="E167" t="s">
        <v>35</v>
      </c>
      <c r="F167" s="14">
        <v>25</v>
      </c>
      <c r="G167" s="15" t="s">
        <v>23</v>
      </c>
      <c r="H167" s="16">
        <f t="shared" si="8"/>
        <v>18.75</v>
      </c>
      <c r="I167" s="16">
        <f t="shared" si="9"/>
        <v>1</v>
      </c>
      <c r="J167" s="16">
        <f t="shared" si="10"/>
        <v>1</v>
      </c>
      <c r="K167" s="17"/>
      <c r="L167" s="18"/>
      <c r="M167" s="19"/>
      <c r="N167" s="19"/>
      <c r="O167" s="19"/>
      <c r="P167" s="20"/>
      <c r="Q167" s="20"/>
    </row>
    <row r="168" spans="1:17" x14ac:dyDescent="0.35">
      <c r="A168" s="1">
        <v>434</v>
      </c>
      <c r="B168" t="s">
        <v>67</v>
      </c>
      <c r="C168" t="s">
        <v>67</v>
      </c>
      <c r="D168" t="s">
        <v>67</v>
      </c>
      <c r="E168" t="s">
        <v>20</v>
      </c>
      <c r="F168" s="14">
        <v>40</v>
      </c>
      <c r="G168" s="15" t="s">
        <v>21</v>
      </c>
      <c r="H168" s="16">
        <f t="shared" si="8"/>
        <v>40</v>
      </c>
      <c r="I168" s="16">
        <f t="shared" si="9"/>
        <v>1</v>
      </c>
      <c r="J168" s="16">
        <f t="shared" si="10"/>
        <v>1</v>
      </c>
      <c r="K168" s="17"/>
      <c r="L168" s="18"/>
      <c r="M168" s="19"/>
      <c r="N168" s="19"/>
      <c r="O168" s="19"/>
      <c r="P168" s="20"/>
      <c r="Q168" s="20"/>
    </row>
    <row r="169" spans="1:17" x14ac:dyDescent="0.35">
      <c r="A169" s="1">
        <v>466</v>
      </c>
      <c r="B169" t="s">
        <v>67</v>
      </c>
      <c r="C169" t="s">
        <v>67</v>
      </c>
      <c r="D169" t="s">
        <v>67</v>
      </c>
      <c r="E169" t="s">
        <v>67</v>
      </c>
      <c r="F169" s="14">
        <v>0</v>
      </c>
      <c r="G169" s="15" t="s">
        <v>49</v>
      </c>
      <c r="H169" s="16">
        <f t="shared" si="8"/>
        <v>0</v>
      </c>
      <c r="I169" s="16">
        <f t="shared" si="9"/>
        <v>0</v>
      </c>
      <c r="J169" s="16">
        <f t="shared" si="10"/>
        <v>0</v>
      </c>
      <c r="K169" s="17"/>
      <c r="L169" s="18"/>
      <c r="M169" s="19"/>
      <c r="N169" s="19"/>
      <c r="O169" s="19"/>
      <c r="P169" s="20"/>
      <c r="Q169" s="20"/>
    </row>
    <row r="170" spans="1:17" x14ac:dyDescent="0.35">
      <c r="A170" s="1">
        <v>34</v>
      </c>
      <c r="B170" t="s">
        <v>67</v>
      </c>
      <c r="C170" t="s">
        <v>66</v>
      </c>
      <c r="D170" t="s">
        <v>67</v>
      </c>
      <c r="E170" t="s">
        <v>68</v>
      </c>
      <c r="F170" s="14">
        <v>10</v>
      </c>
      <c r="G170" s="15" t="s">
        <v>22</v>
      </c>
      <c r="H170" s="16">
        <f t="shared" si="8"/>
        <v>5</v>
      </c>
      <c r="I170" s="16">
        <f t="shared" si="9"/>
        <v>0</v>
      </c>
      <c r="J170" s="16">
        <f t="shared" si="10"/>
        <v>1</v>
      </c>
      <c r="K170" s="17" t="s">
        <v>59</v>
      </c>
      <c r="L170" s="18"/>
      <c r="M170" s="19"/>
      <c r="N170" s="19"/>
      <c r="O170" s="19"/>
      <c r="P170" s="20"/>
      <c r="Q170" s="20"/>
    </row>
    <row r="171" spans="1:17" x14ac:dyDescent="0.35">
      <c r="A171" s="1">
        <v>390</v>
      </c>
      <c r="B171" t="s">
        <v>66</v>
      </c>
      <c r="C171" t="s">
        <v>66</v>
      </c>
      <c r="D171" t="s">
        <v>67</v>
      </c>
      <c r="E171" t="s">
        <v>20</v>
      </c>
      <c r="F171" s="14">
        <v>20</v>
      </c>
      <c r="G171" s="15" t="s">
        <v>25</v>
      </c>
      <c r="H171" s="16">
        <f t="shared" si="8"/>
        <v>17.5</v>
      </c>
      <c r="I171" s="16">
        <f t="shared" si="9"/>
        <v>1</v>
      </c>
      <c r="J171" s="16">
        <f t="shared" si="10"/>
        <v>1</v>
      </c>
      <c r="K171" s="17"/>
      <c r="L171" s="18"/>
      <c r="M171" s="19"/>
      <c r="N171" s="19"/>
      <c r="O171" s="19"/>
      <c r="P171" s="20"/>
      <c r="Q171" s="20"/>
    </row>
    <row r="172" spans="1:17" x14ac:dyDescent="0.35">
      <c r="A172" s="1">
        <v>490</v>
      </c>
      <c r="B172" t="s">
        <v>67</v>
      </c>
      <c r="C172" t="s">
        <v>67</v>
      </c>
      <c r="D172" t="s">
        <v>67</v>
      </c>
      <c r="E172" t="s">
        <v>67</v>
      </c>
      <c r="F172" s="14">
        <v>0</v>
      </c>
      <c r="G172" s="15" t="s">
        <v>49</v>
      </c>
      <c r="H172" s="16">
        <f t="shared" si="8"/>
        <v>0</v>
      </c>
      <c r="I172" s="16">
        <f t="shared" si="9"/>
        <v>0</v>
      </c>
      <c r="J172" s="16">
        <f t="shared" si="10"/>
        <v>0</v>
      </c>
      <c r="K172" s="17"/>
      <c r="L172" s="18"/>
      <c r="M172" s="19"/>
      <c r="N172" s="19"/>
      <c r="O172" s="19"/>
      <c r="P172" s="20"/>
      <c r="Q172" s="20"/>
    </row>
    <row r="173" spans="1:17" x14ac:dyDescent="0.35">
      <c r="A173" s="1">
        <v>320</v>
      </c>
      <c r="B173" t="s">
        <v>67</v>
      </c>
      <c r="C173" t="s">
        <v>66</v>
      </c>
      <c r="D173" t="s">
        <v>66</v>
      </c>
      <c r="E173" t="s">
        <v>67</v>
      </c>
      <c r="F173" s="14">
        <v>5</v>
      </c>
      <c r="G173" s="15" t="s">
        <v>38</v>
      </c>
      <c r="H173" s="16">
        <f t="shared" si="8"/>
        <v>1.25</v>
      </c>
      <c r="I173" s="16">
        <f t="shared" si="9"/>
        <v>0</v>
      </c>
      <c r="J173" s="16">
        <f t="shared" si="10"/>
        <v>0</v>
      </c>
      <c r="K173" s="17"/>
      <c r="L173" s="18"/>
      <c r="M173" s="19"/>
      <c r="N173" s="19"/>
      <c r="O173" s="19"/>
      <c r="P173" s="20"/>
      <c r="Q173" s="20"/>
    </row>
    <row r="174" spans="1:17" x14ac:dyDescent="0.35">
      <c r="A174" s="1">
        <v>336</v>
      </c>
      <c r="B174" t="s">
        <v>67</v>
      </c>
      <c r="C174" t="s">
        <v>66</v>
      </c>
      <c r="D174" t="s">
        <v>67</v>
      </c>
      <c r="E174" t="s">
        <v>68</v>
      </c>
      <c r="F174" s="14">
        <v>10</v>
      </c>
      <c r="G174" s="15" t="s">
        <v>22</v>
      </c>
      <c r="H174" s="16">
        <f t="shared" si="8"/>
        <v>5</v>
      </c>
      <c r="I174" s="16">
        <f t="shared" si="9"/>
        <v>0</v>
      </c>
      <c r="J174" s="16">
        <f t="shared" si="10"/>
        <v>1</v>
      </c>
      <c r="K174" s="17"/>
      <c r="L174" s="18"/>
      <c r="M174" s="19"/>
      <c r="N174" s="19"/>
      <c r="O174" s="19"/>
      <c r="P174" s="20"/>
      <c r="Q174" s="20"/>
    </row>
    <row r="175" spans="1:17" x14ac:dyDescent="0.35">
      <c r="A175" s="1">
        <v>113</v>
      </c>
      <c r="B175" t="s">
        <v>67</v>
      </c>
      <c r="C175" t="s">
        <v>67</v>
      </c>
      <c r="D175" t="s">
        <v>67</v>
      </c>
      <c r="E175" t="s">
        <v>67</v>
      </c>
      <c r="F175" s="14">
        <v>0</v>
      </c>
      <c r="G175" s="15" t="s">
        <v>49</v>
      </c>
      <c r="H175" s="16">
        <f t="shared" si="8"/>
        <v>0</v>
      </c>
      <c r="I175" s="16">
        <f t="shared" si="9"/>
        <v>0</v>
      </c>
      <c r="J175" s="16">
        <f t="shared" si="10"/>
        <v>0</v>
      </c>
      <c r="K175" s="17"/>
      <c r="L175" s="18"/>
      <c r="M175" s="19"/>
      <c r="N175" s="19"/>
      <c r="O175" s="19"/>
      <c r="P175" s="20"/>
      <c r="Q175" s="20"/>
    </row>
    <row r="176" spans="1:17" x14ac:dyDescent="0.35">
      <c r="A176" s="1">
        <v>545</v>
      </c>
      <c r="B176" t="s">
        <v>67</v>
      </c>
      <c r="C176" t="s">
        <v>67</v>
      </c>
      <c r="D176" t="s">
        <v>67</v>
      </c>
      <c r="E176" t="s">
        <v>67</v>
      </c>
      <c r="F176" s="14">
        <v>0</v>
      </c>
      <c r="G176" s="15" t="s">
        <v>49</v>
      </c>
      <c r="H176" s="16">
        <f t="shared" si="8"/>
        <v>0</v>
      </c>
      <c r="I176" s="16">
        <f t="shared" si="9"/>
        <v>0</v>
      </c>
      <c r="J176" s="16">
        <f t="shared" si="10"/>
        <v>0</v>
      </c>
      <c r="K176" s="17"/>
      <c r="L176" s="18"/>
      <c r="M176" s="19"/>
      <c r="N176" s="19"/>
      <c r="O176" s="19"/>
      <c r="P176" s="20"/>
      <c r="Q176" s="20"/>
    </row>
    <row r="177" spans="1:17" x14ac:dyDescent="0.35">
      <c r="A177" s="1">
        <v>356</v>
      </c>
      <c r="B177" t="s">
        <v>67</v>
      </c>
      <c r="C177" t="s">
        <v>67</v>
      </c>
      <c r="D177" t="s">
        <v>67</v>
      </c>
      <c r="E177" t="s">
        <v>67</v>
      </c>
      <c r="F177" s="14">
        <v>0</v>
      </c>
      <c r="G177" s="15" t="s">
        <v>49</v>
      </c>
      <c r="H177" s="16">
        <f t="shared" si="8"/>
        <v>0</v>
      </c>
      <c r="I177" s="16">
        <f t="shared" si="9"/>
        <v>0</v>
      </c>
      <c r="J177" s="16">
        <f t="shared" si="10"/>
        <v>0</v>
      </c>
      <c r="K177" s="17"/>
      <c r="L177" s="18"/>
      <c r="M177" s="19"/>
      <c r="N177" s="19"/>
      <c r="O177" s="19"/>
      <c r="P177" s="20"/>
      <c r="Q177" s="20"/>
    </row>
    <row r="178" spans="1:17" x14ac:dyDescent="0.35">
      <c r="A178" s="1">
        <v>238</v>
      </c>
      <c r="B178" t="s">
        <v>67</v>
      </c>
      <c r="C178" t="s">
        <v>66</v>
      </c>
      <c r="D178" t="s">
        <v>67</v>
      </c>
      <c r="E178" t="s">
        <v>20</v>
      </c>
      <c r="F178" s="14">
        <v>80</v>
      </c>
      <c r="G178" s="15" t="s">
        <v>30</v>
      </c>
      <c r="H178" s="16">
        <f t="shared" si="8"/>
        <v>70</v>
      </c>
      <c r="I178" s="16">
        <f t="shared" si="9"/>
        <v>1</v>
      </c>
      <c r="J178" s="16">
        <f t="shared" si="10"/>
        <v>1</v>
      </c>
      <c r="K178" s="17"/>
      <c r="L178" s="18"/>
      <c r="M178" s="19"/>
      <c r="N178" s="19"/>
      <c r="O178" s="19"/>
      <c r="P178" s="20"/>
      <c r="Q178" s="20"/>
    </row>
    <row r="179" spans="1:17" x14ac:dyDescent="0.35">
      <c r="A179" s="1">
        <v>202</v>
      </c>
      <c r="B179" t="s">
        <v>67</v>
      </c>
      <c r="C179" t="s">
        <v>66</v>
      </c>
      <c r="D179" t="s">
        <v>67</v>
      </c>
      <c r="E179" t="s">
        <v>20</v>
      </c>
      <c r="F179" s="14">
        <v>20</v>
      </c>
      <c r="G179" s="15" t="s">
        <v>25</v>
      </c>
      <c r="H179" s="16">
        <f t="shared" si="8"/>
        <v>17.5</v>
      </c>
      <c r="I179" s="16">
        <f t="shared" si="9"/>
        <v>1</v>
      </c>
      <c r="J179" s="16">
        <f t="shared" si="10"/>
        <v>1</v>
      </c>
      <c r="K179" s="17"/>
      <c r="L179" s="18"/>
      <c r="M179" s="19"/>
      <c r="N179" s="19"/>
      <c r="O179" s="19"/>
      <c r="P179" s="20"/>
      <c r="Q179" s="20"/>
    </row>
    <row r="180" spans="1:17" x14ac:dyDescent="0.35">
      <c r="A180" s="1">
        <v>135</v>
      </c>
      <c r="B180" t="s">
        <v>67</v>
      </c>
      <c r="C180" t="s">
        <v>67</v>
      </c>
      <c r="D180" t="s">
        <v>67</v>
      </c>
      <c r="E180" t="s">
        <v>67</v>
      </c>
      <c r="F180" s="14">
        <v>0</v>
      </c>
      <c r="G180" s="15" t="s">
        <v>49</v>
      </c>
      <c r="H180" s="16">
        <f t="shared" si="8"/>
        <v>0</v>
      </c>
      <c r="I180" s="16">
        <f t="shared" si="9"/>
        <v>0</v>
      </c>
      <c r="J180" s="16">
        <f t="shared" si="10"/>
        <v>0</v>
      </c>
      <c r="K180" s="17"/>
      <c r="L180" s="18"/>
      <c r="M180" s="19"/>
      <c r="N180" s="19"/>
      <c r="O180" s="19"/>
      <c r="P180" s="20"/>
      <c r="Q180" s="20"/>
    </row>
    <row r="181" spans="1:17" x14ac:dyDescent="0.35">
      <c r="A181" s="1">
        <v>733</v>
      </c>
      <c r="B181" t="s">
        <v>66</v>
      </c>
      <c r="C181" t="s">
        <v>66</v>
      </c>
      <c r="D181" t="s">
        <v>67</v>
      </c>
      <c r="E181" t="s">
        <v>68</v>
      </c>
      <c r="F181" s="14">
        <v>5</v>
      </c>
      <c r="G181" s="15" t="s">
        <v>58</v>
      </c>
      <c r="H181" s="16">
        <f t="shared" si="8"/>
        <v>2.5</v>
      </c>
      <c r="I181" s="16">
        <f t="shared" si="9"/>
        <v>0</v>
      </c>
      <c r="J181" s="16">
        <f t="shared" si="10"/>
        <v>1</v>
      </c>
      <c r="K181" s="17" t="s">
        <v>59</v>
      </c>
      <c r="L181" s="18"/>
      <c r="M181" s="19"/>
      <c r="N181" s="19"/>
      <c r="O181" s="19"/>
      <c r="P181" s="20"/>
      <c r="Q181" s="20"/>
    </row>
    <row r="182" spans="1:17" x14ac:dyDescent="0.35">
      <c r="A182" s="1">
        <v>60</v>
      </c>
      <c r="B182" t="s">
        <v>66</v>
      </c>
      <c r="C182" t="s">
        <v>67</v>
      </c>
      <c r="D182" t="s">
        <v>67</v>
      </c>
      <c r="E182" t="s">
        <v>67</v>
      </c>
      <c r="F182" s="14">
        <v>5</v>
      </c>
      <c r="G182" s="15" t="s">
        <v>19</v>
      </c>
      <c r="H182" s="16">
        <f t="shared" si="8"/>
        <v>1.25</v>
      </c>
      <c r="I182" s="16">
        <f t="shared" si="9"/>
        <v>0</v>
      </c>
      <c r="J182" s="16">
        <f t="shared" si="10"/>
        <v>0</v>
      </c>
      <c r="K182" s="17"/>
      <c r="L182" s="18"/>
      <c r="M182" s="19"/>
      <c r="N182" s="19"/>
      <c r="O182" s="19"/>
      <c r="P182" s="20"/>
      <c r="Q182" s="20"/>
    </row>
    <row r="183" spans="1:17" x14ac:dyDescent="0.35">
      <c r="A183" s="1">
        <v>583</v>
      </c>
      <c r="B183" t="s">
        <v>67</v>
      </c>
      <c r="C183" t="s">
        <v>67</v>
      </c>
      <c r="D183" t="s">
        <v>67</v>
      </c>
      <c r="E183" t="s">
        <v>67</v>
      </c>
      <c r="F183" s="14">
        <v>0</v>
      </c>
      <c r="G183" s="15" t="s">
        <v>49</v>
      </c>
      <c r="H183" s="16">
        <f t="shared" si="8"/>
        <v>0</v>
      </c>
      <c r="I183" s="16">
        <f t="shared" si="9"/>
        <v>0</v>
      </c>
      <c r="J183" s="16">
        <f t="shared" si="10"/>
        <v>0</v>
      </c>
      <c r="K183" s="17"/>
      <c r="L183" s="18"/>
      <c r="M183" s="19"/>
      <c r="N183" s="19"/>
      <c r="O183" s="19"/>
      <c r="P183" s="20"/>
      <c r="Q183" s="20"/>
    </row>
    <row r="184" spans="1:17" x14ac:dyDescent="0.35">
      <c r="A184" s="1">
        <v>509</v>
      </c>
      <c r="B184" t="s">
        <v>66</v>
      </c>
      <c r="C184" t="s">
        <v>66</v>
      </c>
      <c r="D184" t="s">
        <v>66</v>
      </c>
      <c r="E184" t="s">
        <v>35</v>
      </c>
      <c r="F184" s="14">
        <v>20</v>
      </c>
      <c r="G184" s="15" t="s">
        <v>23</v>
      </c>
      <c r="H184" s="16">
        <f t="shared" si="8"/>
        <v>15</v>
      </c>
      <c r="I184" s="16">
        <f t="shared" si="9"/>
        <v>1</v>
      </c>
      <c r="J184" s="16">
        <f t="shared" si="10"/>
        <v>1</v>
      </c>
      <c r="K184" s="17"/>
      <c r="L184" s="18"/>
      <c r="M184" s="19"/>
      <c r="N184" s="19"/>
      <c r="O184" s="19"/>
      <c r="P184" s="20"/>
      <c r="Q184" s="20"/>
    </row>
    <row r="185" spans="1:17" x14ac:dyDescent="0.35">
      <c r="A185" s="1">
        <v>556</v>
      </c>
      <c r="B185" t="s">
        <v>66</v>
      </c>
      <c r="C185" t="s">
        <v>67</v>
      </c>
      <c r="D185" t="s">
        <v>67</v>
      </c>
      <c r="E185" t="s">
        <v>67</v>
      </c>
      <c r="F185" s="14">
        <v>5</v>
      </c>
      <c r="G185" s="15" t="s">
        <v>19</v>
      </c>
      <c r="H185" s="16">
        <f t="shared" si="8"/>
        <v>1.25</v>
      </c>
      <c r="I185" s="16">
        <f t="shared" si="9"/>
        <v>0</v>
      </c>
      <c r="J185" s="16">
        <f t="shared" si="10"/>
        <v>0</v>
      </c>
      <c r="K185" s="17"/>
      <c r="L185" s="18"/>
      <c r="M185" s="19"/>
      <c r="N185" s="19"/>
      <c r="O185" s="19"/>
      <c r="P185" s="20"/>
      <c r="Q185" s="20"/>
    </row>
    <row r="186" spans="1:17" x14ac:dyDescent="0.35">
      <c r="A186" s="1">
        <v>162</v>
      </c>
      <c r="B186" t="s">
        <v>67</v>
      </c>
      <c r="C186" t="s">
        <v>66</v>
      </c>
      <c r="D186" t="s">
        <v>67</v>
      </c>
      <c r="E186" t="s">
        <v>35</v>
      </c>
      <c r="F186" s="14">
        <v>75</v>
      </c>
      <c r="G186" s="15" t="s">
        <v>23</v>
      </c>
      <c r="H186" s="16">
        <f t="shared" si="8"/>
        <v>56.25</v>
      </c>
      <c r="I186" s="16">
        <f t="shared" si="9"/>
        <v>1</v>
      </c>
      <c r="J186" s="16">
        <f t="shared" si="10"/>
        <v>1</v>
      </c>
      <c r="K186" s="17"/>
      <c r="L186" s="18"/>
      <c r="M186" s="19"/>
      <c r="N186" s="19"/>
      <c r="O186" s="19"/>
      <c r="P186" s="20"/>
      <c r="Q186" s="20"/>
    </row>
    <row r="187" spans="1:17" x14ac:dyDescent="0.35">
      <c r="A187" s="1">
        <v>586</v>
      </c>
      <c r="B187" t="s">
        <v>67</v>
      </c>
      <c r="C187" t="s">
        <v>67</v>
      </c>
      <c r="D187" t="s">
        <v>67</v>
      </c>
      <c r="E187" t="s">
        <v>67</v>
      </c>
      <c r="F187" s="14">
        <v>0</v>
      </c>
      <c r="G187" s="15" t="s">
        <v>17</v>
      </c>
      <c r="H187" s="16">
        <f t="shared" si="8"/>
        <v>0</v>
      </c>
      <c r="I187" s="16">
        <f t="shared" si="9"/>
        <v>0</v>
      </c>
      <c r="J187" s="16">
        <f t="shared" si="10"/>
        <v>0</v>
      </c>
      <c r="K187" s="17"/>
      <c r="L187" s="18"/>
      <c r="M187" s="19"/>
      <c r="N187" s="19"/>
      <c r="O187" s="19"/>
      <c r="P187" s="20"/>
      <c r="Q187" s="20"/>
    </row>
    <row r="188" spans="1:17" x14ac:dyDescent="0.35">
      <c r="A188" s="1">
        <v>561</v>
      </c>
      <c r="B188" t="s">
        <v>67</v>
      </c>
      <c r="C188" t="s">
        <v>67</v>
      </c>
      <c r="D188" t="s">
        <v>67</v>
      </c>
      <c r="E188" t="s">
        <v>67</v>
      </c>
      <c r="F188" s="14">
        <v>0</v>
      </c>
      <c r="G188" s="15" t="s">
        <v>17</v>
      </c>
      <c r="H188" s="16">
        <f t="shared" si="8"/>
        <v>0</v>
      </c>
      <c r="I188" s="16">
        <f t="shared" si="9"/>
        <v>0</v>
      </c>
      <c r="J188" s="16">
        <f t="shared" si="10"/>
        <v>0</v>
      </c>
      <c r="K188" s="17"/>
      <c r="L188" s="18"/>
      <c r="M188" s="19"/>
      <c r="N188" s="19"/>
      <c r="O188" s="19"/>
      <c r="P188" s="20"/>
      <c r="Q188" s="20"/>
    </row>
    <row r="189" spans="1:17" x14ac:dyDescent="0.35">
      <c r="A189" s="1">
        <v>634</v>
      </c>
      <c r="B189" t="s">
        <v>66</v>
      </c>
      <c r="C189" t="s">
        <v>67</v>
      </c>
      <c r="D189" t="s">
        <v>67</v>
      </c>
      <c r="E189" t="s">
        <v>67</v>
      </c>
      <c r="F189" s="14">
        <v>5</v>
      </c>
      <c r="G189" s="15" t="s">
        <v>19</v>
      </c>
      <c r="H189" s="16">
        <f t="shared" si="8"/>
        <v>1.25</v>
      </c>
      <c r="I189" s="16">
        <f t="shared" si="9"/>
        <v>0</v>
      </c>
      <c r="J189" s="16">
        <f t="shared" si="10"/>
        <v>0</v>
      </c>
      <c r="K189" s="17"/>
      <c r="L189" s="18"/>
      <c r="M189" s="19"/>
      <c r="N189" s="19"/>
      <c r="O189" s="19"/>
      <c r="P189" s="20"/>
      <c r="Q189" s="20"/>
    </row>
    <row r="190" spans="1:17" x14ac:dyDescent="0.35">
      <c r="A190" s="1">
        <v>149</v>
      </c>
      <c r="B190" t="s">
        <v>67</v>
      </c>
      <c r="C190" t="s">
        <v>66</v>
      </c>
      <c r="D190" t="s">
        <v>66</v>
      </c>
      <c r="E190" t="s">
        <v>68</v>
      </c>
      <c r="F190" s="14">
        <v>15</v>
      </c>
      <c r="G190" s="15" t="s">
        <v>22</v>
      </c>
      <c r="H190" s="16">
        <f t="shared" si="8"/>
        <v>7.5</v>
      </c>
      <c r="I190" s="16">
        <f t="shared" si="9"/>
        <v>0</v>
      </c>
      <c r="J190" s="16">
        <f t="shared" si="10"/>
        <v>1</v>
      </c>
      <c r="K190" s="17"/>
      <c r="L190" s="18"/>
      <c r="M190" s="19"/>
      <c r="N190" s="19"/>
      <c r="O190" s="19"/>
      <c r="P190" s="20"/>
      <c r="Q190" s="20"/>
    </row>
    <row r="191" spans="1:17" x14ac:dyDescent="0.35">
      <c r="A191" s="1">
        <v>507</v>
      </c>
      <c r="B191" t="s">
        <v>67</v>
      </c>
      <c r="C191" t="s">
        <v>66</v>
      </c>
      <c r="D191" t="s">
        <v>67</v>
      </c>
      <c r="E191" t="s">
        <v>20</v>
      </c>
      <c r="F191" s="14">
        <v>25</v>
      </c>
      <c r="G191" s="15" t="s">
        <v>25</v>
      </c>
      <c r="H191" s="16">
        <f t="shared" si="8"/>
        <v>21.875</v>
      </c>
      <c r="I191" s="16">
        <f t="shared" si="9"/>
        <v>1</v>
      </c>
      <c r="J191" s="16">
        <f t="shared" si="10"/>
        <v>1</v>
      </c>
      <c r="K191" s="17"/>
      <c r="L191" s="18"/>
      <c r="M191" s="19"/>
      <c r="N191" s="19"/>
      <c r="O191" s="19"/>
      <c r="P191" s="20"/>
      <c r="Q191" s="20"/>
    </row>
    <row r="192" spans="1:17" x14ac:dyDescent="0.35">
      <c r="A192" s="1">
        <v>519</v>
      </c>
      <c r="B192" t="s">
        <v>67</v>
      </c>
      <c r="C192" t="s">
        <v>67</v>
      </c>
      <c r="D192" t="s">
        <v>67</v>
      </c>
      <c r="E192" t="s">
        <v>67</v>
      </c>
      <c r="F192" s="14">
        <v>0</v>
      </c>
      <c r="G192" s="15" t="s">
        <v>17</v>
      </c>
      <c r="H192" s="16">
        <f t="shared" si="8"/>
        <v>0</v>
      </c>
      <c r="I192" s="16">
        <f t="shared" si="9"/>
        <v>0</v>
      </c>
      <c r="J192" s="16">
        <f t="shared" si="10"/>
        <v>0</v>
      </c>
      <c r="K192" s="17"/>
      <c r="L192" s="18"/>
      <c r="M192" s="19"/>
      <c r="N192" s="19"/>
      <c r="O192" s="19"/>
      <c r="P192" s="20"/>
      <c r="Q192" s="20"/>
    </row>
    <row r="193" spans="1:17" x14ac:dyDescent="0.35">
      <c r="A193" s="1">
        <v>109</v>
      </c>
      <c r="B193" t="s">
        <v>67</v>
      </c>
      <c r="C193" t="s">
        <v>67</v>
      </c>
      <c r="D193" t="s">
        <v>67</v>
      </c>
      <c r="E193" t="s">
        <v>67</v>
      </c>
      <c r="F193" s="14">
        <v>0</v>
      </c>
      <c r="G193" s="15" t="s">
        <v>17</v>
      </c>
      <c r="H193" s="16">
        <f t="shared" si="8"/>
        <v>0</v>
      </c>
      <c r="I193" s="16">
        <f t="shared" si="9"/>
        <v>0</v>
      </c>
      <c r="J193" s="16">
        <f t="shared" si="10"/>
        <v>0</v>
      </c>
      <c r="K193" s="17"/>
      <c r="L193" s="18"/>
      <c r="M193" s="19"/>
      <c r="N193" s="19"/>
      <c r="O193" s="19"/>
      <c r="P193" s="20"/>
      <c r="Q193" s="20"/>
    </row>
    <row r="194" spans="1:17" x14ac:dyDescent="0.35">
      <c r="A194" s="1">
        <v>470</v>
      </c>
      <c r="B194" t="s">
        <v>67</v>
      </c>
      <c r="C194" t="s">
        <v>67</v>
      </c>
      <c r="D194" t="s">
        <v>67</v>
      </c>
      <c r="E194" t="s">
        <v>20</v>
      </c>
      <c r="F194" s="14">
        <v>40</v>
      </c>
      <c r="G194" s="15" t="s">
        <v>21</v>
      </c>
      <c r="H194" s="16">
        <f t="shared" si="8"/>
        <v>40</v>
      </c>
      <c r="I194" s="16">
        <f t="shared" si="9"/>
        <v>1</v>
      </c>
      <c r="J194" s="16">
        <f t="shared" si="10"/>
        <v>1</v>
      </c>
      <c r="K194" s="17"/>
      <c r="L194" s="18"/>
      <c r="M194" s="19"/>
      <c r="N194" s="19"/>
      <c r="O194" s="19"/>
      <c r="P194" s="20"/>
      <c r="Q194" s="20"/>
    </row>
    <row r="195" spans="1:17" x14ac:dyDescent="0.35">
      <c r="A195" s="1">
        <v>711</v>
      </c>
      <c r="B195" t="s">
        <v>66</v>
      </c>
      <c r="C195" t="s">
        <v>67</v>
      </c>
      <c r="D195" t="s">
        <v>67</v>
      </c>
      <c r="E195" t="s">
        <v>67</v>
      </c>
      <c r="F195" s="14">
        <v>5</v>
      </c>
      <c r="G195" s="15" t="s">
        <v>19</v>
      </c>
      <c r="H195" s="16">
        <f t="shared" si="8"/>
        <v>1.25</v>
      </c>
      <c r="I195" s="16">
        <f t="shared" si="9"/>
        <v>0</v>
      </c>
      <c r="J195" s="16">
        <f t="shared" si="10"/>
        <v>0</v>
      </c>
      <c r="K195" s="17"/>
      <c r="L195" s="18"/>
      <c r="M195" s="19"/>
      <c r="N195" s="19"/>
      <c r="O195" s="19"/>
      <c r="P195" s="20"/>
      <c r="Q195" s="20"/>
    </row>
    <row r="196" spans="1:17" x14ac:dyDescent="0.35">
      <c r="A196" s="1">
        <v>542</v>
      </c>
      <c r="B196" t="s">
        <v>67</v>
      </c>
      <c r="C196" t="s">
        <v>67</v>
      </c>
      <c r="D196" t="s">
        <v>67</v>
      </c>
      <c r="E196" t="s">
        <v>67</v>
      </c>
      <c r="F196" s="14">
        <v>0</v>
      </c>
      <c r="G196" s="15" t="s">
        <v>17</v>
      </c>
      <c r="H196" s="16">
        <f t="shared" ref="H196:H246" si="11">INDEX(U:U, MATCH(G196, T:T, 0))*F196</f>
        <v>0</v>
      </c>
      <c r="I196" s="16">
        <f t="shared" ref="I196:I246" si="12">IF(COUNTIF($T$3:$T$6, G196) &gt; 0, 0, 1)</f>
        <v>0</v>
      </c>
      <c r="J196" s="16">
        <f t="shared" ref="J196:J246" si="13">IF(COUNTIF(T$3:T$5, G196) &gt; 0, 0, 1)</f>
        <v>0</v>
      </c>
      <c r="K196" s="17"/>
      <c r="L196" s="18"/>
      <c r="M196" s="19"/>
      <c r="N196" s="19"/>
      <c r="O196" s="19"/>
      <c r="P196" s="20"/>
      <c r="Q196" s="20"/>
    </row>
    <row r="197" spans="1:17" x14ac:dyDescent="0.35">
      <c r="A197" s="1">
        <v>594</v>
      </c>
      <c r="B197" t="s">
        <v>67</v>
      </c>
      <c r="C197" t="s">
        <v>67</v>
      </c>
      <c r="D197" t="s">
        <v>67</v>
      </c>
      <c r="E197" t="s">
        <v>67</v>
      </c>
      <c r="F197" s="14">
        <v>0</v>
      </c>
      <c r="G197" s="15" t="s">
        <v>17</v>
      </c>
      <c r="H197" s="16">
        <f t="shared" si="11"/>
        <v>0</v>
      </c>
      <c r="I197" s="16">
        <f t="shared" si="12"/>
        <v>0</v>
      </c>
      <c r="J197" s="16">
        <f t="shared" si="13"/>
        <v>0</v>
      </c>
      <c r="K197" s="17"/>
      <c r="L197" s="18"/>
      <c r="M197" s="19"/>
      <c r="N197" s="19"/>
      <c r="O197" s="19"/>
      <c r="P197" s="20"/>
      <c r="Q197" s="20"/>
    </row>
    <row r="198" spans="1:17" x14ac:dyDescent="0.35">
      <c r="A198" s="1">
        <v>687</v>
      </c>
      <c r="B198" t="s">
        <v>67</v>
      </c>
      <c r="C198" t="s">
        <v>67</v>
      </c>
      <c r="D198" t="s">
        <v>67</v>
      </c>
      <c r="E198" t="s">
        <v>67</v>
      </c>
      <c r="F198" s="14">
        <v>0</v>
      </c>
      <c r="G198" s="15" t="s">
        <v>17</v>
      </c>
      <c r="H198" s="16">
        <f t="shared" si="11"/>
        <v>0</v>
      </c>
      <c r="I198" s="16">
        <f t="shared" si="12"/>
        <v>0</v>
      </c>
      <c r="J198" s="16">
        <f t="shared" si="13"/>
        <v>0</v>
      </c>
      <c r="K198" s="17"/>
      <c r="L198" s="18"/>
      <c r="M198" s="19"/>
      <c r="N198" s="19"/>
      <c r="O198" s="19"/>
      <c r="P198" s="20"/>
      <c r="Q198" s="20"/>
    </row>
    <row r="199" spans="1:17" x14ac:dyDescent="0.35">
      <c r="A199" s="1">
        <v>355</v>
      </c>
      <c r="B199" t="s">
        <v>66</v>
      </c>
      <c r="C199" t="s">
        <v>67</v>
      </c>
      <c r="D199" t="s">
        <v>67</v>
      </c>
      <c r="E199" t="s">
        <v>67</v>
      </c>
      <c r="F199" s="14">
        <v>5</v>
      </c>
      <c r="G199" s="15" t="s">
        <v>19</v>
      </c>
      <c r="H199" s="16">
        <f t="shared" si="11"/>
        <v>1.25</v>
      </c>
      <c r="I199" s="16">
        <f t="shared" si="12"/>
        <v>0</v>
      </c>
      <c r="J199" s="16">
        <f t="shared" si="13"/>
        <v>0</v>
      </c>
      <c r="K199" s="17"/>
      <c r="L199" s="18"/>
      <c r="M199" s="19"/>
      <c r="N199" s="19"/>
      <c r="O199" s="19"/>
      <c r="P199" s="20"/>
      <c r="Q199" s="20"/>
    </row>
    <row r="200" spans="1:17" x14ac:dyDescent="0.35">
      <c r="A200" s="1">
        <v>11</v>
      </c>
      <c r="B200" t="s">
        <v>67</v>
      </c>
      <c r="C200" t="s">
        <v>66</v>
      </c>
      <c r="D200" t="s">
        <v>67</v>
      </c>
      <c r="E200" t="s">
        <v>67</v>
      </c>
      <c r="F200" s="14">
        <v>5</v>
      </c>
      <c r="G200" s="15" t="s">
        <v>19</v>
      </c>
      <c r="H200" s="16">
        <f t="shared" si="11"/>
        <v>1.25</v>
      </c>
      <c r="I200" s="16">
        <f t="shared" si="12"/>
        <v>0</v>
      </c>
      <c r="J200" s="16">
        <f t="shared" si="13"/>
        <v>0</v>
      </c>
      <c r="K200" s="17"/>
      <c r="L200" s="18"/>
      <c r="M200" s="19"/>
      <c r="N200" s="19"/>
      <c r="O200" s="19"/>
      <c r="P200" s="20"/>
      <c r="Q200" s="20"/>
    </row>
    <row r="201" spans="1:17" x14ac:dyDescent="0.35">
      <c r="A201" s="1">
        <v>35</v>
      </c>
      <c r="B201" t="s">
        <v>66</v>
      </c>
      <c r="C201" t="s">
        <v>67</v>
      </c>
      <c r="D201" t="s">
        <v>67</v>
      </c>
      <c r="E201" t="s">
        <v>67</v>
      </c>
      <c r="F201" s="14">
        <v>5</v>
      </c>
      <c r="G201" s="15" t="s">
        <v>19</v>
      </c>
      <c r="H201" s="16">
        <f t="shared" si="11"/>
        <v>1.25</v>
      </c>
      <c r="I201" s="16">
        <f t="shared" si="12"/>
        <v>0</v>
      </c>
      <c r="J201" s="16">
        <f t="shared" si="13"/>
        <v>0</v>
      </c>
      <c r="K201" s="17"/>
      <c r="L201" s="18"/>
      <c r="M201" s="19"/>
      <c r="N201" s="19"/>
      <c r="O201" s="19"/>
      <c r="P201" s="20"/>
      <c r="Q201" s="20"/>
    </row>
    <row r="202" spans="1:17" x14ac:dyDescent="0.35">
      <c r="A202" s="1">
        <v>220</v>
      </c>
      <c r="B202" t="s">
        <v>67</v>
      </c>
      <c r="C202" t="s">
        <v>66</v>
      </c>
      <c r="D202" t="s">
        <v>67</v>
      </c>
      <c r="E202" t="s">
        <v>35</v>
      </c>
      <c r="F202" s="14">
        <v>80</v>
      </c>
      <c r="G202" s="15" t="s">
        <v>23</v>
      </c>
      <c r="H202" s="16">
        <f t="shared" si="11"/>
        <v>60</v>
      </c>
      <c r="I202" s="16">
        <f t="shared" si="12"/>
        <v>1</v>
      </c>
      <c r="J202" s="16">
        <f t="shared" si="13"/>
        <v>1</v>
      </c>
      <c r="K202" s="17"/>
      <c r="L202" s="18"/>
      <c r="M202" s="19"/>
      <c r="N202" s="19"/>
      <c r="O202" s="19"/>
      <c r="P202" s="20"/>
      <c r="Q202" s="20"/>
    </row>
    <row r="203" spans="1:17" x14ac:dyDescent="0.35">
      <c r="A203" s="1">
        <v>53</v>
      </c>
      <c r="B203" t="s">
        <v>67</v>
      </c>
      <c r="C203" t="s">
        <v>66</v>
      </c>
      <c r="D203" t="s">
        <v>67</v>
      </c>
      <c r="E203" t="s">
        <v>20</v>
      </c>
      <c r="F203" s="14">
        <v>30</v>
      </c>
      <c r="G203" s="15" t="s">
        <v>21</v>
      </c>
      <c r="H203" s="16">
        <f t="shared" si="11"/>
        <v>30</v>
      </c>
      <c r="I203" s="16">
        <f t="shared" si="12"/>
        <v>1</v>
      </c>
      <c r="J203" s="16">
        <f t="shared" si="13"/>
        <v>1</v>
      </c>
      <c r="K203" s="17" t="s">
        <v>60</v>
      </c>
      <c r="L203" s="18"/>
      <c r="M203" s="19"/>
      <c r="N203" s="19"/>
      <c r="O203" s="19"/>
      <c r="P203" s="20"/>
      <c r="Q203" s="20"/>
    </row>
    <row r="204" spans="1:17" x14ac:dyDescent="0.35">
      <c r="A204" s="1">
        <v>503</v>
      </c>
      <c r="B204" t="s">
        <v>67</v>
      </c>
      <c r="C204" t="s">
        <v>66</v>
      </c>
      <c r="D204" t="s">
        <v>67</v>
      </c>
      <c r="E204" t="s">
        <v>20</v>
      </c>
      <c r="F204" s="14">
        <v>25</v>
      </c>
      <c r="G204" s="15" t="s">
        <v>21</v>
      </c>
      <c r="H204" s="16">
        <f t="shared" si="11"/>
        <v>25</v>
      </c>
      <c r="I204" s="16">
        <f t="shared" si="12"/>
        <v>1</v>
      </c>
      <c r="J204" s="16">
        <f t="shared" si="13"/>
        <v>1</v>
      </c>
      <c r="K204" s="17" t="s">
        <v>60</v>
      </c>
      <c r="L204" s="18"/>
      <c r="M204" s="19"/>
      <c r="N204" s="19"/>
      <c r="O204" s="19"/>
      <c r="P204" s="20"/>
      <c r="Q204" s="20"/>
    </row>
    <row r="205" spans="1:17" x14ac:dyDescent="0.35">
      <c r="A205" s="1">
        <v>72</v>
      </c>
      <c r="B205" t="s">
        <v>67</v>
      </c>
      <c r="C205" t="s">
        <v>66</v>
      </c>
      <c r="D205" t="s">
        <v>67</v>
      </c>
      <c r="E205" t="s">
        <v>20</v>
      </c>
      <c r="F205" s="14">
        <v>25</v>
      </c>
      <c r="G205" s="15" t="s">
        <v>25</v>
      </c>
      <c r="H205" s="16">
        <f t="shared" si="11"/>
        <v>21.875</v>
      </c>
      <c r="I205" s="16">
        <f t="shared" si="12"/>
        <v>1</v>
      </c>
      <c r="J205" s="16">
        <f t="shared" si="13"/>
        <v>1</v>
      </c>
      <c r="K205" s="17"/>
      <c r="L205" s="18"/>
      <c r="M205" s="19"/>
      <c r="N205" s="19"/>
      <c r="O205" s="19"/>
      <c r="P205" s="20"/>
      <c r="Q205" s="20"/>
    </row>
    <row r="206" spans="1:17" x14ac:dyDescent="0.35">
      <c r="A206" s="1">
        <v>311</v>
      </c>
      <c r="B206" t="s">
        <v>67</v>
      </c>
      <c r="C206" t="s">
        <v>67</v>
      </c>
      <c r="D206" t="s">
        <v>67</v>
      </c>
      <c r="E206" t="s">
        <v>67</v>
      </c>
      <c r="F206" s="14">
        <v>0</v>
      </c>
      <c r="G206" s="15" t="s">
        <v>17</v>
      </c>
      <c r="H206" s="16">
        <f t="shared" si="11"/>
        <v>0</v>
      </c>
      <c r="I206" s="16">
        <f t="shared" si="12"/>
        <v>0</v>
      </c>
      <c r="J206" s="16">
        <f t="shared" si="13"/>
        <v>0</v>
      </c>
      <c r="K206" s="17"/>
      <c r="L206" s="18"/>
      <c r="M206" s="19"/>
      <c r="N206" s="19"/>
      <c r="O206" s="19"/>
      <c r="P206" s="20"/>
      <c r="Q206" s="20"/>
    </row>
    <row r="207" spans="1:17" x14ac:dyDescent="0.35">
      <c r="A207" s="1">
        <v>750</v>
      </c>
      <c r="B207" t="s">
        <v>67</v>
      </c>
      <c r="C207" t="s">
        <v>67</v>
      </c>
      <c r="D207" t="s">
        <v>67</v>
      </c>
      <c r="E207" t="s">
        <v>67</v>
      </c>
      <c r="F207" s="14">
        <v>0</v>
      </c>
      <c r="G207" s="15" t="s">
        <v>17</v>
      </c>
      <c r="H207" s="16">
        <f t="shared" si="11"/>
        <v>0</v>
      </c>
      <c r="I207" s="16">
        <f t="shared" si="12"/>
        <v>0</v>
      </c>
      <c r="J207" s="16">
        <f t="shared" si="13"/>
        <v>0</v>
      </c>
      <c r="K207" s="17"/>
      <c r="L207" s="18"/>
      <c r="M207" s="19"/>
      <c r="N207" s="19"/>
      <c r="O207" s="19"/>
      <c r="P207" s="20"/>
      <c r="Q207" s="20"/>
    </row>
    <row r="208" spans="1:17" x14ac:dyDescent="0.35">
      <c r="A208" s="1">
        <v>164</v>
      </c>
      <c r="B208" t="s">
        <v>66</v>
      </c>
      <c r="C208" t="s">
        <v>67</v>
      </c>
      <c r="D208" t="s">
        <v>67</v>
      </c>
      <c r="E208" t="s">
        <v>67</v>
      </c>
      <c r="F208" s="14">
        <v>5</v>
      </c>
      <c r="G208" s="15" t="s">
        <v>19</v>
      </c>
      <c r="H208" s="16">
        <f t="shared" si="11"/>
        <v>1.25</v>
      </c>
      <c r="I208" s="16">
        <f t="shared" si="12"/>
        <v>0</v>
      </c>
      <c r="J208" s="16">
        <f t="shared" si="13"/>
        <v>0</v>
      </c>
      <c r="K208" s="17"/>
      <c r="L208" s="18"/>
      <c r="M208" s="19"/>
      <c r="N208" s="19"/>
      <c r="O208" s="19"/>
      <c r="P208" s="20"/>
      <c r="Q208" s="20"/>
    </row>
    <row r="209" spans="1:17" x14ac:dyDescent="0.35">
      <c r="A209" s="1">
        <v>140</v>
      </c>
      <c r="B209" t="s">
        <v>67</v>
      </c>
      <c r="C209" t="s">
        <v>67</v>
      </c>
      <c r="D209" t="s">
        <v>67</v>
      </c>
      <c r="E209" t="s">
        <v>67</v>
      </c>
      <c r="F209" s="14">
        <v>70</v>
      </c>
      <c r="G209" s="15" t="s">
        <v>21</v>
      </c>
      <c r="H209" s="16">
        <f t="shared" si="11"/>
        <v>70</v>
      </c>
      <c r="I209" s="16">
        <f t="shared" si="12"/>
        <v>1</v>
      </c>
      <c r="J209" s="16">
        <f t="shared" si="13"/>
        <v>1</v>
      </c>
      <c r="K209" s="17" t="s">
        <v>61</v>
      </c>
      <c r="L209" s="18"/>
      <c r="M209" s="19"/>
      <c r="N209" s="19"/>
      <c r="O209" s="19"/>
      <c r="P209" s="20"/>
      <c r="Q209" s="20"/>
    </row>
    <row r="210" spans="1:17" x14ac:dyDescent="0.35">
      <c r="A210" s="1">
        <v>563</v>
      </c>
      <c r="B210" t="s">
        <v>67</v>
      </c>
      <c r="C210" t="s">
        <v>67</v>
      </c>
      <c r="D210" t="s">
        <v>67</v>
      </c>
      <c r="E210" t="s">
        <v>67</v>
      </c>
      <c r="F210" s="14">
        <v>0</v>
      </c>
      <c r="G210" s="15" t="s">
        <v>17</v>
      </c>
      <c r="H210" s="16">
        <f t="shared" si="11"/>
        <v>0</v>
      </c>
      <c r="I210" s="16">
        <f t="shared" si="12"/>
        <v>0</v>
      </c>
      <c r="J210" s="16">
        <f t="shared" si="13"/>
        <v>0</v>
      </c>
      <c r="K210" s="17"/>
      <c r="L210" s="18"/>
      <c r="M210" s="19"/>
      <c r="N210" s="19"/>
      <c r="O210" s="19"/>
      <c r="P210" s="20"/>
      <c r="Q210" s="20"/>
    </row>
    <row r="211" spans="1:17" x14ac:dyDescent="0.35">
      <c r="A211" s="1">
        <v>695</v>
      </c>
      <c r="B211" t="s">
        <v>66</v>
      </c>
      <c r="C211" t="s">
        <v>67</v>
      </c>
      <c r="D211" t="s">
        <v>67</v>
      </c>
      <c r="E211" t="s">
        <v>67</v>
      </c>
      <c r="F211" s="14">
        <v>5</v>
      </c>
      <c r="G211" s="15" t="s">
        <v>19</v>
      </c>
      <c r="H211" s="16">
        <f t="shared" si="11"/>
        <v>1.25</v>
      </c>
      <c r="I211" s="16">
        <f t="shared" si="12"/>
        <v>0</v>
      </c>
      <c r="J211" s="16">
        <f t="shared" si="13"/>
        <v>0</v>
      </c>
      <c r="K211" s="17"/>
      <c r="L211" s="18"/>
      <c r="M211" s="19"/>
      <c r="N211" s="19"/>
      <c r="O211" s="19"/>
      <c r="P211" s="20"/>
      <c r="Q211" s="20"/>
    </row>
    <row r="212" spans="1:17" x14ac:dyDescent="0.35">
      <c r="A212" s="1">
        <v>748</v>
      </c>
      <c r="B212" t="s">
        <v>67</v>
      </c>
      <c r="C212" t="s">
        <v>67</v>
      </c>
      <c r="D212" t="s">
        <v>67</v>
      </c>
      <c r="E212" t="s">
        <v>67</v>
      </c>
      <c r="F212" s="14">
        <v>0</v>
      </c>
      <c r="G212" s="15" t="s">
        <v>17</v>
      </c>
      <c r="H212" s="16">
        <f t="shared" si="11"/>
        <v>0</v>
      </c>
      <c r="I212" s="16">
        <f t="shared" si="12"/>
        <v>0</v>
      </c>
      <c r="J212" s="16">
        <f t="shared" si="13"/>
        <v>0</v>
      </c>
      <c r="K212" s="17"/>
      <c r="L212" s="18"/>
      <c r="M212" s="19"/>
      <c r="N212" s="19"/>
      <c r="O212" s="19"/>
      <c r="P212" s="20"/>
      <c r="Q212" s="20"/>
    </row>
    <row r="213" spans="1:17" x14ac:dyDescent="0.35">
      <c r="A213" s="1">
        <v>115</v>
      </c>
      <c r="B213" t="s">
        <v>66</v>
      </c>
      <c r="C213" t="s">
        <v>67</v>
      </c>
      <c r="D213" t="s">
        <v>67</v>
      </c>
      <c r="E213" t="s">
        <v>67</v>
      </c>
      <c r="F213" s="14">
        <v>5</v>
      </c>
      <c r="G213" s="15" t="s">
        <v>19</v>
      </c>
      <c r="H213" s="16">
        <f t="shared" si="11"/>
        <v>1.25</v>
      </c>
      <c r="I213" s="16">
        <f t="shared" si="12"/>
        <v>0</v>
      </c>
      <c r="J213" s="16">
        <f t="shared" si="13"/>
        <v>0</v>
      </c>
      <c r="K213" s="17"/>
      <c r="L213" s="18"/>
      <c r="M213" s="19"/>
      <c r="N213" s="19"/>
      <c r="O213" s="19"/>
      <c r="P213" s="20"/>
      <c r="Q213" s="20"/>
    </row>
    <row r="214" spans="1:17" x14ac:dyDescent="0.35">
      <c r="A214" s="1">
        <v>394</v>
      </c>
      <c r="B214" t="s">
        <v>66</v>
      </c>
      <c r="C214" t="s">
        <v>66</v>
      </c>
      <c r="D214" t="s">
        <v>67</v>
      </c>
      <c r="E214" t="s">
        <v>67</v>
      </c>
      <c r="F214" s="14">
        <v>5</v>
      </c>
      <c r="G214" s="15" t="s">
        <v>38</v>
      </c>
      <c r="H214" s="16">
        <f t="shared" si="11"/>
        <v>1.25</v>
      </c>
      <c r="I214" s="16">
        <f t="shared" si="12"/>
        <v>0</v>
      </c>
      <c r="J214" s="16">
        <f t="shared" si="13"/>
        <v>0</v>
      </c>
      <c r="K214" s="17"/>
      <c r="L214" s="18"/>
      <c r="M214" s="19"/>
      <c r="N214" s="19"/>
      <c r="O214" s="19"/>
      <c r="P214" s="20"/>
      <c r="Q214" s="20"/>
    </row>
    <row r="215" spans="1:17" x14ac:dyDescent="0.35">
      <c r="A215" s="1">
        <v>726</v>
      </c>
      <c r="B215" t="s">
        <v>67</v>
      </c>
      <c r="C215" t="s">
        <v>67</v>
      </c>
      <c r="D215" t="s">
        <v>67</v>
      </c>
      <c r="E215" t="s">
        <v>67</v>
      </c>
      <c r="F215" s="14">
        <v>0</v>
      </c>
      <c r="G215" s="15" t="s">
        <v>17</v>
      </c>
      <c r="H215" s="16">
        <f t="shared" si="11"/>
        <v>0</v>
      </c>
      <c r="I215" s="16">
        <f t="shared" si="12"/>
        <v>0</v>
      </c>
      <c r="J215" s="16">
        <f t="shared" si="13"/>
        <v>0</v>
      </c>
      <c r="K215" s="17"/>
      <c r="L215" s="18"/>
      <c r="M215" s="19"/>
      <c r="N215" s="19"/>
      <c r="O215" s="19"/>
      <c r="P215" s="20"/>
      <c r="Q215" s="20"/>
    </row>
    <row r="216" spans="1:17" x14ac:dyDescent="0.35">
      <c r="A216" s="1">
        <v>411</v>
      </c>
      <c r="B216" t="s">
        <v>67</v>
      </c>
      <c r="C216" t="s">
        <v>66</v>
      </c>
      <c r="D216" t="s">
        <v>67</v>
      </c>
      <c r="E216" t="s">
        <v>20</v>
      </c>
      <c r="F216" s="14">
        <v>40</v>
      </c>
      <c r="G216" s="15" t="s">
        <v>25</v>
      </c>
      <c r="H216" s="16">
        <f t="shared" si="11"/>
        <v>35</v>
      </c>
      <c r="I216" s="16">
        <f t="shared" si="12"/>
        <v>1</v>
      </c>
      <c r="J216" s="16">
        <f t="shared" si="13"/>
        <v>1</v>
      </c>
      <c r="K216" s="17"/>
      <c r="L216" s="18"/>
      <c r="M216" s="19"/>
      <c r="N216" s="19"/>
      <c r="O216" s="19"/>
      <c r="P216" s="20"/>
      <c r="Q216" s="20"/>
    </row>
    <row r="217" spans="1:17" x14ac:dyDescent="0.35">
      <c r="A217" s="1">
        <v>73</v>
      </c>
      <c r="B217" t="s">
        <v>67</v>
      </c>
      <c r="C217" t="s">
        <v>67</v>
      </c>
      <c r="D217" t="s">
        <v>67</v>
      </c>
      <c r="E217" t="s">
        <v>68</v>
      </c>
      <c r="F217" s="14">
        <v>5</v>
      </c>
      <c r="G217" s="15" t="s">
        <v>22</v>
      </c>
      <c r="H217" s="16">
        <f t="shared" si="11"/>
        <v>2.5</v>
      </c>
      <c r="I217" s="16">
        <f t="shared" si="12"/>
        <v>0</v>
      </c>
      <c r="J217" s="16">
        <f t="shared" si="13"/>
        <v>1</v>
      </c>
      <c r="K217" s="17" t="s">
        <v>59</v>
      </c>
      <c r="L217" s="18"/>
      <c r="M217" s="19"/>
      <c r="N217" s="19"/>
      <c r="O217" s="19"/>
      <c r="P217" s="20"/>
      <c r="Q217" s="20"/>
    </row>
    <row r="218" spans="1:17" x14ac:dyDescent="0.35">
      <c r="A218" s="1">
        <v>537</v>
      </c>
      <c r="B218" t="s">
        <v>67</v>
      </c>
      <c r="C218" t="s">
        <v>67</v>
      </c>
      <c r="D218" t="s">
        <v>67</v>
      </c>
      <c r="E218" t="s">
        <v>67</v>
      </c>
      <c r="F218" s="14">
        <v>0</v>
      </c>
      <c r="G218" s="15" t="s">
        <v>17</v>
      </c>
      <c r="H218" s="16">
        <f t="shared" si="11"/>
        <v>0</v>
      </c>
      <c r="I218" s="16">
        <f t="shared" si="12"/>
        <v>0</v>
      </c>
      <c r="J218" s="16">
        <f t="shared" si="13"/>
        <v>0</v>
      </c>
      <c r="K218" s="17"/>
      <c r="L218" s="18"/>
      <c r="M218" s="19"/>
      <c r="N218" s="19"/>
      <c r="O218" s="19"/>
      <c r="P218" s="20"/>
      <c r="Q218" s="20"/>
    </row>
    <row r="219" spans="1:17" x14ac:dyDescent="0.35">
      <c r="A219" s="1">
        <v>632</v>
      </c>
      <c r="B219" t="s">
        <v>67</v>
      </c>
      <c r="C219" t="s">
        <v>67</v>
      </c>
      <c r="D219" t="s">
        <v>67</v>
      </c>
      <c r="E219" t="s">
        <v>67</v>
      </c>
      <c r="F219" s="14">
        <v>0</v>
      </c>
      <c r="G219" s="15" t="s">
        <v>17</v>
      </c>
      <c r="H219" s="16">
        <f t="shared" si="11"/>
        <v>0</v>
      </c>
      <c r="I219" s="16">
        <f t="shared" si="12"/>
        <v>0</v>
      </c>
      <c r="J219" s="16">
        <f t="shared" si="13"/>
        <v>0</v>
      </c>
      <c r="K219" s="17"/>
      <c r="L219" s="18"/>
      <c r="M219" s="19"/>
      <c r="N219" s="19"/>
      <c r="O219" s="19"/>
      <c r="P219" s="20"/>
      <c r="Q219" s="20"/>
    </row>
    <row r="220" spans="1:17" x14ac:dyDescent="0.35">
      <c r="A220" s="1">
        <v>32</v>
      </c>
      <c r="B220" t="s">
        <v>67</v>
      </c>
      <c r="C220" t="s">
        <v>66</v>
      </c>
      <c r="D220" t="s">
        <v>67</v>
      </c>
      <c r="E220" t="s">
        <v>68</v>
      </c>
      <c r="F220" s="14">
        <v>15</v>
      </c>
      <c r="G220" s="15" t="s">
        <v>22</v>
      </c>
      <c r="H220" s="16">
        <f t="shared" si="11"/>
        <v>7.5</v>
      </c>
      <c r="I220" s="16">
        <f t="shared" si="12"/>
        <v>0</v>
      </c>
      <c r="J220" s="16">
        <f t="shared" si="13"/>
        <v>1</v>
      </c>
      <c r="K220" s="17"/>
      <c r="L220" s="18"/>
      <c r="M220" s="19"/>
      <c r="N220" s="19"/>
      <c r="O220" s="19"/>
      <c r="P220" s="20"/>
      <c r="Q220" s="20"/>
    </row>
    <row r="221" spans="1:17" x14ac:dyDescent="0.35">
      <c r="A221" s="1">
        <v>715</v>
      </c>
      <c r="B221" t="s">
        <v>66</v>
      </c>
      <c r="C221" t="s">
        <v>67</v>
      </c>
      <c r="D221" t="s">
        <v>67</v>
      </c>
      <c r="E221" t="s">
        <v>67</v>
      </c>
      <c r="F221" s="14">
        <v>5</v>
      </c>
      <c r="G221" s="15" t="s">
        <v>19</v>
      </c>
      <c r="H221" s="16">
        <f t="shared" si="11"/>
        <v>1.25</v>
      </c>
      <c r="I221" s="16">
        <f t="shared" si="12"/>
        <v>0</v>
      </c>
      <c r="J221" s="16">
        <f t="shared" si="13"/>
        <v>0</v>
      </c>
      <c r="K221" s="17"/>
      <c r="L221" s="18"/>
      <c r="M221" s="19"/>
      <c r="N221" s="19"/>
      <c r="O221" s="19"/>
      <c r="P221" s="20"/>
      <c r="Q221" s="20"/>
    </row>
    <row r="222" spans="1:17" x14ac:dyDescent="0.35">
      <c r="A222" s="1">
        <v>514</v>
      </c>
      <c r="B222" t="s">
        <v>66</v>
      </c>
      <c r="C222" t="s">
        <v>66</v>
      </c>
      <c r="D222" t="s">
        <v>67</v>
      </c>
      <c r="E222" t="s">
        <v>67</v>
      </c>
      <c r="F222" s="14">
        <v>10</v>
      </c>
      <c r="G222" s="15" t="s">
        <v>19</v>
      </c>
      <c r="H222" s="16">
        <f t="shared" si="11"/>
        <v>2.5</v>
      </c>
      <c r="I222" s="16">
        <f t="shared" si="12"/>
        <v>0</v>
      </c>
      <c r="J222" s="16">
        <f t="shared" si="13"/>
        <v>0</v>
      </c>
      <c r="K222" s="17"/>
      <c r="L222" s="18"/>
      <c r="M222" s="19"/>
      <c r="N222" s="19"/>
      <c r="O222" s="19"/>
      <c r="P222" s="20"/>
      <c r="Q222" s="20"/>
    </row>
    <row r="223" spans="1:17" x14ac:dyDescent="0.35">
      <c r="A223" s="1">
        <v>181</v>
      </c>
      <c r="B223" t="s">
        <v>67</v>
      </c>
      <c r="C223" t="s">
        <v>66</v>
      </c>
      <c r="D223" t="s">
        <v>66</v>
      </c>
      <c r="E223" t="s">
        <v>55</v>
      </c>
      <c r="F223" s="14">
        <v>40</v>
      </c>
      <c r="G223" s="15" t="s">
        <v>25</v>
      </c>
      <c r="H223" s="16">
        <f t="shared" si="11"/>
        <v>35</v>
      </c>
      <c r="I223" s="16">
        <f t="shared" si="12"/>
        <v>1</v>
      </c>
      <c r="J223" s="16">
        <f t="shared" si="13"/>
        <v>1</v>
      </c>
      <c r="K223" s="17" t="s">
        <v>31</v>
      </c>
      <c r="L223" s="18"/>
      <c r="M223" s="19"/>
      <c r="N223" s="19"/>
      <c r="O223" s="19"/>
      <c r="P223" s="20"/>
      <c r="Q223" s="20"/>
    </row>
    <row r="224" spans="1:17" x14ac:dyDescent="0.35">
      <c r="A224" s="1">
        <v>431</v>
      </c>
      <c r="B224" t="s">
        <v>66</v>
      </c>
      <c r="C224" t="s">
        <v>67</v>
      </c>
      <c r="D224" t="s">
        <v>67</v>
      </c>
      <c r="E224" t="s">
        <v>67</v>
      </c>
      <c r="F224" s="14">
        <v>5</v>
      </c>
      <c r="G224" s="15" t="s">
        <v>19</v>
      </c>
      <c r="H224" s="16">
        <f t="shared" si="11"/>
        <v>1.25</v>
      </c>
      <c r="I224" s="16">
        <f t="shared" si="12"/>
        <v>0</v>
      </c>
      <c r="J224" s="16">
        <f t="shared" si="13"/>
        <v>0</v>
      </c>
      <c r="K224" s="17"/>
      <c r="L224" s="18"/>
      <c r="M224" s="19"/>
      <c r="N224" s="19"/>
      <c r="O224" s="19"/>
      <c r="P224" s="20"/>
      <c r="Q224" s="20"/>
    </row>
    <row r="225" spans="1:17" x14ac:dyDescent="0.35">
      <c r="A225" s="1">
        <v>727</v>
      </c>
      <c r="B225" t="s">
        <v>67</v>
      </c>
      <c r="C225" t="s">
        <v>67</v>
      </c>
      <c r="D225" t="s">
        <v>67</v>
      </c>
      <c r="E225" t="s">
        <v>20</v>
      </c>
      <c r="F225" s="14">
        <v>80</v>
      </c>
      <c r="G225" s="15" t="s">
        <v>21</v>
      </c>
      <c r="H225" s="16">
        <f t="shared" si="11"/>
        <v>80</v>
      </c>
      <c r="I225" s="16">
        <f t="shared" si="12"/>
        <v>1</v>
      </c>
      <c r="J225" s="16">
        <f t="shared" si="13"/>
        <v>1</v>
      </c>
      <c r="K225" s="17"/>
      <c r="L225" s="18"/>
      <c r="M225" s="19"/>
      <c r="N225" s="19"/>
      <c r="O225" s="19"/>
      <c r="P225" s="20"/>
      <c r="Q225" s="20"/>
    </row>
    <row r="226" spans="1:17" x14ac:dyDescent="0.35">
      <c r="A226" s="1">
        <v>128</v>
      </c>
      <c r="B226" t="s">
        <v>67</v>
      </c>
      <c r="C226" t="s">
        <v>67</v>
      </c>
      <c r="D226" t="s">
        <v>67</v>
      </c>
      <c r="E226" t="s">
        <v>67</v>
      </c>
      <c r="F226" s="14">
        <v>0</v>
      </c>
      <c r="G226" s="15" t="s">
        <v>17</v>
      </c>
      <c r="H226" s="16">
        <f t="shared" si="11"/>
        <v>0</v>
      </c>
      <c r="I226" s="16">
        <f t="shared" si="12"/>
        <v>0</v>
      </c>
      <c r="J226" s="16">
        <f t="shared" si="13"/>
        <v>0</v>
      </c>
      <c r="K226" s="17"/>
      <c r="L226" s="18"/>
      <c r="M226" s="19"/>
      <c r="N226" s="19"/>
      <c r="O226" s="19"/>
      <c r="P226" s="20"/>
      <c r="Q226" s="20"/>
    </row>
    <row r="227" spans="1:17" x14ac:dyDescent="0.35">
      <c r="A227" s="1">
        <v>69</v>
      </c>
      <c r="B227" t="s">
        <v>67</v>
      </c>
      <c r="C227" t="s">
        <v>66</v>
      </c>
      <c r="D227" t="s">
        <v>67</v>
      </c>
      <c r="E227" t="s">
        <v>67</v>
      </c>
      <c r="F227" s="14">
        <v>90</v>
      </c>
      <c r="G227" s="15" t="s">
        <v>19</v>
      </c>
      <c r="H227" s="16">
        <f t="shared" si="11"/>
        <v>22.5</v>
      </c>
      <c r="I227" s="16">
        <f t="shared" si="12"/>
        <v>0</v>
      </c>
      <c r="J227" s="16">
        <f t="shared" si="13"/>
        <v>0</v>
      </c>
      <c r="K227" s="17"/>
      <c r="L227" s="18"/>
      <c r="M227" s="19"/>
      <c r="N227" s="19"/>
      <c r="O227" s="19"/>
      <c r="P227" s="20"/>
      <c r="Q227" s="20"/>
    </row>
    <row r="228" spans="1:17" x14ac:dyDescent="0.35">
      <c r="A228" s="1">
        <v>94</v>
      </c>
      <c r="B228" t="s">
        <v>67</v>
      </c>
      <c r="C228" t="s">
        <v>66</v>
      </c>
      <c r="D228" t="s">
        <v>67</v>
      </c>
      <c r="E228" t="s">
        <v>55</v>
      </c>
      <c r="F228" s="14">
        <v>80</v>
      </c>
      <c r="G228" s="15" t="s">
        <v>28</v>
      </c>
      <c r="H228" s="16">
        <f t="shared" si="11"/>
        <v>60</v>
      </c>
      <c r="I228" s="16">
        <f t="shared" si="12"/>
        <v>1</v>
      </c>
      <c r="J228" s="16">
        <f t="shared" si="13"/>
        <v>1</v>
      </c>
      <c r="K228" s="17"/>
      <c r="L228" s="18"/>
      <c r="M228" s="19"/>
      <c r="N228" s="19"/>
      <c r="O228" s="19"/>
      <c r="P228" s="20"/>
      <c r="Q228" s="20"/>
    </row>
    <row r="229" spans="1:17" x14ac:dyDescent="0.35">
      <c r="A229" s="1">
        <v>334</v>
      </c>
      <c r="B229" t="s">
        <v>67</v>
      </c>
      <c r="C229" t="s">
        <v>67</v>
      </c>
      <c r="D229" t="s">
        <v>67</v>
      </c>
      <c r="E229" t="s">
        <v>67</v>
      </c>
      <c r="F229" s="14">
        <v>0</v>
      </c>
      <c r="G229" s="15" t="s">
        <v>17</v>
      </c>
      <c r="H229" s="16">
        <f t="shared" si="11"/>
        <v>0</v>
      </c>
      <c r="I229" s="16">
        <f t="shared" si="12"/>
        <v>0</v>
      </c>
      <c r="J229" s="16">
        <f t="shared" si="13"/>
        <v>0</v>
      </c>
      <c r="K229" s="17"/>
      <c r="L229" s="18"/>
      <c r="M229" s="19"/>
      <c r="N229" s="19"/>
      <c r="O229" s="19"/>
      <c r="P229" s="20"/>
      <c r="Q229" s="20"/>
    </row>
    <row r="230" spans="1:17" x14ac:dyDescent="0.35">
      <c r="A230" s="1">
        <v>88</v>
      </c>
      <c r="B230" t="s">
        <v>66</v>
      </c>
      <c r="C230" t="s">
        <v>67</v>
      </c>
      <c r="D230" t="s">
        <v>67</v>
      </c>
      <c r="E230" t="s">
        <v>67</v>
      </c>
      <c r="F230" s="14">
        <v>5</v>
      </c>
      <c r="G230" s="15" t="s">
        <v>19</v>
      </c>
      <c r="H230" s="16">
        <f t="shared" si="11"/>
        <v>1.25</v>
      </c>
      <c r="I230" s="16">
        <f t="shared" si="12"/>
        <v>0</v>
      </c>
      <c r="J230" s="16">
        <f t="shared" si="13"/>
        <v>0</v>
      </c>
      <c r="K230" s="17"/>
      <c r="L230" s="18"/>
      <c r="M230" s="19"/>
      <c r="N230" s="19"/>
      <c r="O230" s="19"/>
      <c r="P230" s="20"/>
      <c r="Q230" s="20"/>
    </row>
    <row r="231" spans="1:17" x14ac:dyDescent="0.35">
      <c r="A231" s="1">
        <v>184</v>
      </c>
      <c r="B231" t="s">
        <v>67</v>
      </c>
      <c r="C231" t="s">
        <v>67</v>
      </c>
      <c r="D231" t="s">
        <v>67</v>
      </c>
      <c r="E231" t="s">
        <v>67</v>
      </c>
      <c r="F231" s="14">
        <v>0</v>
      </c>
      <c r="G231" s="15" t="s">
        <v>17</v>
      </c>
      <c r="H231" s="16">
        <f t="shared" si="11"/>
        <v>0</v>
      </c>
      <c r="I231" s="16">
        <f t="shared" si="12"/>
        <v>0</v>
      </c>
      <c r="J231" s="16">
        <f t="shared" si="13"/>
        <v>0</v>
      </c>
      <c r="K231" s="17"/>
      <c r="L231" s="18"/>
      <c r="M231" s="19"/>
      <c r="N231" s="19"/>
      <c r="O231" s="19"/>
      <c r="P231" s="20"/>
      <c r="Q231" s="20"/>
    </row>
    <row r="232" spans="1:17" x14ac:dyDescent="0.35">
      <c r="A232" s="1">
        <v>145</v>
      </c>
      <c r="B232" t="s">
        <v>66</v>
      </c>
      <c r="C232" t="s">
        <v>67</v>
      </c>
      <c r="D232" t="s">
        <v>67</v>
      </c>
      <c r="E232" t="s">
        <v>67</v>
      </c>
      <c r="F232" s="14">
        <v>5</v>
      </c>
      <c r="G232" s="15" t="s">
        <v>19</v>
      </c>
      <c r="H232" s="16">
        <f t="shared" si="11"/>
        <v>1.25</v>
      </c>
      <c r="I232" s="16">
        <f t="shared" si="12"/>
        <v>0</v>
      </c>
      <c r="J232" s="16">
        <f t="shared" si="13"/>
        <v>0</v>
      </c>
      <c r="K232" s="17"/>
      <c r="L232" s="18"/>
      <c r="M232" s="19"/>
      <c r="N232" s="19"/>
      <c r="O232" s="19"/>
      <c r="P232" s="20"/>
      <c r="Q232" s="20"/>
    </row>
    <row r="233" spans="1:17" x14ac:dyDescent="0.35">
      <c r="A233" s="1">
        <v>707</v>
      </c>
      <c r="B233" t="s">
        <v>66</v>
      </c>
      <c r="C233" t="s">
        <v>67</v>
      </c>
      <c r="D233" t="s">
        <v>67</v>
      </c>
      <c r="E233" t="s">
        <v>67</v>
      </c>
      <c r="F233" s="14">
        <v>5</v>
      </c>
      <c r="G233" s="15" t="s">
        <v>19</v>
      </c>
      <c r="H233" s="16">
        <f t="shared" si="11"/>
        <v>1.25</v>
      </c>
      <c r="I233" s="16">
        <f t="shared" si="12"/>
        <v>0</v>
      </c>
      <c r="J233" s="16">
        <f t="shared" si="13"/>
        <v>0</v>
      </c>
      <c r="K233" s="17"/>
      <c r="L233" s="18"/>
      <c r="M233" s="19"/>
      <c r="N233" s="19"/>
      <c r="O233" s="19"/>
      <c r="P233" s="20"/>
      <c r="Q233" s="20"/>
    </row>
    <row r="234" spans="1:17" x14ac:dyDescent="0.35">
      <c r="A234" s="1">
        <v>728</v>
      </c>
      <c r="B234" t="s">
        <v>67</v>
      </c>
      <c r="C234" t="s">
        <v>67</v>
      </c>
      <c r="D234" t="s">
        <v>67</v>
      </c>
      <c r="E234" t="s">
        <v>67</v>
      </c>
      <c r="F234" s="14">
        <v>0</v>
      </c>
      <c r="G234" s="15" t="s">
        <v>17</v>
      </c>
      <c r="H234" s="16">
        <f t="shared" si="11"/>
        <v>0</v>
      </c>
      <c r="I234" s="16">
        <f t="shared" si="12"/>
        <v>0</v>
      </c>
      <c r="J234" s="16">
        <f t="shared" si="13"/>
        <v>0</v>
      </c>
      <c r="K234" s="17"/>
      <c r="L234" s="18"/>
      <c r="M234" s="19"/>
      <c r="N234" s="19"/>
      <c r="O234" s="19"/>
      <c r="P234" s="20"/>
      <c r="Q234" s="20"/>
    </row>
    <row r="235" spans="1:17" x14ac:dyDescent="0.35">
      <c r="A235" s="1">
        <v>317</v>
      </c>
      <c r="B235" t="s">
        <v>66</v>
      </c>
      <c r="C235" t="s">
        <v>67</v>
      </c>
      <c r="D235" t="s">
        <v>67</v>
      </c>
      <c r="E235" t="s">
        <v>67</v>
      </c>
      <c r="F235" s="14">
        <v>5</v>
      </c>
      <c r="G235" s="15" t="s">
        <v>19</v>
      </c>
      <c r="H235" s="16">
        <f t="shared" si="11"/>
        <v>1.25</v>
      </c>
      <c r="I235" s="16">
        <f t="shared" si="12"/>
        <v>0</v>
      </c>
      <c r="J235" s="16">
        <f t="shared" si="13"/>
        <v>0</v>
      </c>
      <c r="K235" s="17"/>
      <c r="L235" s="18"/>
      <c r="M235" s="19"/>
      <c r="N235" s="19"/>
      <c r="O235" s="19"/>
      <c r="P235" s="20"/>
      <c r="Q235" s="20"/>
    </row>
    <row r="236" spans="1:17" x14ac:dyDescent="0.35">
      <c r="A236" s="1">
        <v>564</v>
      </c>
      <c r="B236" t="s">
        <v>66</v>
      </c>
      <c r="C236" t="s">
        <v>67</v>
      </c>
      <c r="D236" t="s">
        <v>67</v>
      </c>
      <c r="E236" t="s">
        <v>67</v>
      </c>
      <c r="F236" s="14">
        <v>5</v>
      </c>
      <c r="G236" s="15" t="s">
        <v>19</v>
      </c>
      <c r="H236" s="16">
        <f t="shared" si="11"/>
        <v>1.25</v>
      </c>
      <c r="I236" s="16">
        <f t="shared" si="12"/>
        <v>0</v>
      </c>
      <c r="J236" s="16">
        <f t="shared" si="13"/>
        <v>0</v>
      </c>
      <c r="K236" s="17"/>
      <c r="L236" s="18"/>
      <c r="M236" s="19"/>
      <c r="N236" s="19"/>
      <c r="O236" s="19"/>
      <c r="P236" s="20"/>
      <c r="Q236" s="20"/>
    </row>
    <row r="237" spans="1:17" x14ac:dyDescent="0.35">
      <c r="A237" s="1">
        <v>508</v>
      </c>
      <c r="B237" t="s">
        <v>66</v>
      </c>
      <c r="C237" t="s">
        <v>66</v>
      </c>
      <c r="D237" t="s">
        <v>67</v>
      </c>
      <c r="E237" t="s">
        <v>35</v>
      </c>
      <c r="F237" s="14">
        <v>20</v>
      </c>
      <c r="G237" s="15" t="s">
        <v>25</v>
      </c>
      <c r="H237" s="16">
        <f t="shared" si="11"/>
        <v>17.5</v>
      </c>
      <c r="I237" s="16">
        <f t="shared" si="12"/>
        <v>1</v>
      </c>
      <c r="J237" s="16">
        <f t="shared" si="13"/>
        <v>1</v>
      </c>
      <c r="K237" s="17" t="s">
        <v>62</v>
      </c>
      <c r="L237" s="18"/>
      <c r="M237" s="19"/>
      <c r="N237" s="19"/>
      <c r="O237" s="19"/>
      <c r="P237" s="20"/>
      <c r="Q237" s="20"/>
    </row>
    <row r="238" spans="1:17" x14ac:dyDescent="0.35">
      <c r="A238" s="1">
        <v>432</v>
      </c>
      <c r="B238" t="s">
        <v>66</v>
      </c>
      <c r="C238" t="s">
        <v>66</v>
      </c>
      <c r="D238" t="s">
        <v>67</v>
      </c>
      <c r="E238" t="s">
        <v>20</v>
      </c>
      <c r="F238" s="14">
        <v>60</v>
      </c>
      <c r="G238" s="15" t="s">
        <v>25</v>
      </c>
      <c r="H238" s="16">
        <f t="shared" si="11"/>
        <v>52.5</v>
      </c>
      <c r="I238" s="16">
        <f t="shared" si="12"/>
        <v>1</v>
      </c>
      <c r="J238" s="16">
        <f t="shared" si="13"/>
        <v>1</v>
      </c>
      <c r="K238" s="17"/>
      <c r="L238" s="18"/>
      <c r="M238" s="19"/>
      <c r="N238" s="19"/>
      <c r="O238" s="19"/>
      <c r="P238" s="20"/>
      <c r="Q238" s="20"/>
    </row>
    <row r="239" spans="1:17" x14ac:dyDescent="0.35">
      <c r="A239" s="1">
        <v>263</v>
      </c>
      <c r="B239" t="s">
        <v>66</v>
      </c>
      <c r="C239" t="s">
        <v>66</v>
      </c>
      <c r="D239" t="s">
        <v>66</v>
      </c>
      <c r="E239" t="s">
        <v>20</v>
      </c>
      <c r="F239" s="14">
        <v>40</v>
      </c>
      <c r="G239" s="15" t="s">
        <v>25</v>
      </c>
      <c r="H239" s="16">
        <f t="shared" si="11"/>
        <v>35</v>
      </c>
      <c r="I239" s="16">
        <f t="shared" si="12"/>
        <v>1</v>
      </c>
      <c r="J239" s="16">
        <f t="shared" si="13"/>
        <v>1</v>
      </c>
      <c r="K239" s="17"/>
      <c r="L239" s="18"/>
      <c r="M239" s="19"/>
      <c r="N239" s="19"/>
      <c r="O239" s="19"/>
      <c r="P239" s="20"/>
      <c r="Q239" s="20"/>
    </row>
    <row r="240" spans="1:17" x14ac:dyDescent="0.35">
      <c r="A240" s="1">
        <v>584</v>
      </c>
      <c r="B240" t="s">
        <v>66</v>
      </c>
      <c r="C240" t="s">
        <v>67</v>
      </c>
      <c r="D240" t="s">
        <v>67</v>
      </c>
      <c r="E240" t="s">
        <v>67</v>
      </c>
      <c r="F240" s="14">
        <v>5</v>
      </c>
      <c r="G240" s="15" t="s">
        <v>19</v>
      </c>
      <c r="H240" s="16">
        <f t="shared" si="11"/>
        <v>1.25</v>
      </c>
      <c r="I240" s="16">
        <f t="shared" si="12"/>
        <v>0</v>
      </c>
      <c r="J240" s="16">
        <f t="shared" si="13"/>
        <v>0</v>
      </c>
      <c r="K240" s="17"/>
      <c r="L240" s="18"/>
      <c r="M240" s="19"/>
      <c r="N240" s="19"/>
      <c r="O240" s="19"/>
      <c r="P240" s="20"/>
      <c r="Q240" s="20"/>
    </row>
    <row r="241" spans="1:18" x14ac:dyDescent="0.35">
      <c r="A241" s="1">
        <v>562</v>
      </c>
      <c r="B241" t="s">
        <v>66</v>
      </c>
      <c r="C241" t="s">
        <v>67</v>
      </c>
      <c r="D241" t="s">
        <v>67</v>
      </c>
      <c r="E241" t="s">
        <v>67</v>
      </c>
      <c r="F241" s="14">
        <v>5</v>
      </c>
      <c r="G241" s="15" t="s">
        <v>19</v>
      </c>
      <c r="H241" s="16">
        <f t="shared" si="11"/>
        <v>1.25</v>
      </c>
      <c r="I241" s="16">
        <f t="shared" si="12"/>
        <v>0</v>
      </c>
      <c r="J241" s="16">
        <f t="shared" si="13"/>
        <v>0</v>
      </c>
      <c r="K241" s="17"/>
      <c r="L241" s="18"/>
      <c r="M241" s="19"/>
      <c r="N241" s="19"/>
      <c r="O241" s="19"/>
      <c r="P241" s="20"/>
      <c r="Q241" s="20"/>
    </row>
    <row r="242" spans="1:18" x14ac:dyDescent="0.35">
      <c r="A242" s="1">
        <v>593</v>
      </c>
      <c r="B242" t="s">
        <v>66</v>
      </c>
      <c r="C242" t="s">
        <v>67</v>
      </c>
      <c r="D242" t="s">
        <v>67</v>
      </c>
      <c r="E242" t="s">
        <v>67</v>
      </c>
      <c r="F242" s="14">
        <v>5</v>
      </c>
      <c r="G242" s="15" t="s">
        <v>19</v>
      </c>
      <c r="H242" s="16">
        <f t="shared" si="11"/>
        <v>1.25</v>
      </c>
      <c r="I242" s="16">
        <f t="shared" si="12"/>
        <v>0</v>
      </c>
      <c r="J242" s="16">
        <f t="shared" si="13"/>
        <v>0</v>
      </c>
      <c r="K242" s="17"/>
      <c r="L242" s="18"/>
      <c r="M242" s="19"/>
      <c r="N242" s="19"/>
      <c r="O242" s="19"/>
      <c r="P242" s="20"/>
      <c r="Q242" s="20"/>
    </row>
    <row r="243" spans="1:18" x14ac:dyDescent="0.35">
      <c r="A243" s="1">
        <v>636</v>
      </c>
      <c r="B243" t="s">
        <v>66</v>
      </c>
      <c r="C243" t="s">
        <v>67</v>
      </c>
      <c r="D243" t="s">
        <v>67</v>
      </c>
      <c r="E243" t="s">
        <v>67</v>
      </c>
      <c r="F243" s="14">
        <v>5</v>
      </c>
      <c r="G243" s="15" t="s">
        <v>19</v>
      </c>
      <c r="H243" s="16">
        <f t="shared" si="11"/>
        <v>1.25</v>
      </c>
      <c r="I243" s="16">
        <f t="shared" si="12"/>
        <v>0</v>
      </c>
      <c r="J243" s="16">
        <f t="shared" si="13"/>
        <v>0</v>
      </c>
      <c r="K243" s="17"/>
      <c r="L243" s="18"/>
      <c r="M243" s="19"/>
      <c r="N243" s="19"/>
      <c r="O243" s="19"/>
      <c r="P243" s="20"/>
      <c r="Q243" s="20"/>
    </row>
    <row r="244" spans="1:18" x14ac:dyDescent="0.35">
      <c r="A244" s="1">
        <v>12</v>
      </c>
      <c r="B244" t="s">
        <v>66</v>
      </c>
      <c r="C244" t="s">
        <v>66</v>
      </c>
      <c r="D244" t="s">
        <v>67</v>
      </c>
      <c r="E244" t="s">
        <v>67</v>
      </c>
      <c r="F244" s="14">
        <v>5</v>
      </c>
      <c r="G244" s="15" t="s">
        <v>19</v>
      </c>
      <c r="H244" s="16">
        <f t="shared" si="11"/>
        <v>1.25</v>
      </c>
      <c r="I244" s="16">
        <f t="shared" si="12"/>
        <v>0</v>
      </c>
      <c r="J244" s="16">
        <f t="shared" si="13"/>
        <v>0</v>
      </c>
      <c r="K244" s="17"/>
      <c r="L244" s="18"/>
      <c r="M244" s="19"/>
      <c r="N244" s="19"/>
      <c r="O244" s="19"/>
      <c r="P244" s="20"/>
      <c r="Q244" s="20"/>
    </row>
    <row r="245" spans="1:18" x14ac:dyDescent="0.35">
      <c r="A245" s="1">
        <v>686</v>
      </c>
      <c r="B245" t="s">
        <v>67</v>
      </c>
      <c r="C245" t="s">
        <v>67</v>
      </c>
      <c r="D245" t="s">
        <v>67</v>
      </c>
      <c r="E245" t="s">
        <v>67</v>
      </c>
      <c r="F245" s="14">
        <v>0</v>
      </c>
      <c r="G245" s="15" t="s">
        <v>17</v>
      </c>
      <c r="H245" s="16">
        <f t="shared" si="11"/>
        <v>0</v>
      </c>
      <c r="I245" s="16">
        <f t="shared" si="12"/>
        <v>0</v>
      </c>
      <c r="J245" s="16">
        <f t="shared" si="13"/>
        <v>0</v>
      </c>
      <c r="K245" s="17"/>
      <c r="L245" s="18"/>
      <c r="M245" s="19"/>
      <c r="N245" s="19"/>
      <c r="O245" s="19"/>
      <c r="P245" s="20"/>
      <c r="Q245" s="20"/>
    </row>
    <row r="246" spans="1:18" x14ac:dyDescent="0.35">
      <c r="A246" s="1">
        <v>708</v>
      </c>
      <c r="B246" t="s">
        <v>67</v>
      </c>
      <c r="C246" t="s">
        <v>67</v>
      </c>
      <c r="D246" t="s">
        <v>67</v>
      </c>
      <c r="E246" t="s">
        <v>67</v>
      </c>
      <c r="F246" s="14">
        <v>0</v>
      </c>
      <c r="G246" s="15" t="s">
        <v>17</v>
      </c>
      <c r="H246" s="16">
        <f t="shared" si="11"/>
        <v>0</v>
      </c>
      <c r="I246" s="16">
        <f t="shared" si="12"/>
        <v>0</v>
      </c>
      <c r="J246" s="16">
        <f t="shared" si="13"/>
        <v>0</v>
      </c>
      <c r="K246" s="17"/>
      <c r="L246" s="18"/>
      <c r="M246" s="19"/>
      <c r="N246" s="19"/>
      <c r="O246" s="19"/>
      <c r="P246" s="20"/>
      <c r="Q246" s="20"/>
    </row>
    <row r="247" spans="1:18" x14ac:dyDescent="0.35">
      <c r="A247" s="1"/>
      <c r="F247" s="14"/>
      <c r="G247" s="15"/>
      <c r="H247" s="16"/>
      <c r="I247" s="16"/>
      <c r="J247" s="16"/>
      <c r="K247" s="17"/>
      <c r="L247" s="18"/>
      <c r="M247" s="19"/>
      <c r="N247" s="19"/>
      <c r="O247" s="19"/>
      <c r="P247" s="20"/>
      <c r="Q247" s="20"/>
      <c r="R247" s="21"/>
    </row>
  </sheetData>
  <mergeCells count="3">
    <mergeCell ref="A1:K1"/>
    <mergeCell ref="L1:R1"/>
    <mergeCell ref="T2:U2"/>
  </mergeCells>
  <conditionalFormatting sqref="A1:A1048576">
    <cfRule type="duplicateValues" dxfId="8" priority="23"/>
    <cfRule type="duplicateValues" dxfId="7" priority="24"/>
  </conditionalFormatting>
  <conditionalFormatting sqref="B3:D109 B103:G103 B110:G110 B111:D116 B117:G117 B118:D127 B128:G128 B129:D135 B136:G136 B137:D141 B142:G142">
    <cfRule type="cellIs" dxfId="6" priority="19" operator="equal">
      <formula>$B$5</formula>
    </cfRule>
  </conditionalFormatting>
  <conditionalFormatting sqref="B143:D247">
    <cfRule type="cellIs" dxfId="4" priority="10" operator="equal">
      <formula>$B$5</formula>
    </cfRule>
  </conditionalFormatting>
  <conditionalFormatting sqref="E2:E247">
    <cfRule type="cellIs" dxfId="2" priority="15" operator="equal">
      <formula>$E$49</formula>
    </cfRule>
    <cfRule type="cellIs" dxfId="1" priority="16" operator="equal">
      <formula>$E$16</formula>
    </cfRule>
    <cfRule type="cellIs" dxfId="0" priority="17" operator="equal">
      <formula>$E$5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67D5512B-9E24-4E2E-86C7-AF7938AF691F}">
            <xm:f>NOT(ISERROR(SEARCH($C$5,B143)))</xm:f>
            <xm:f>$C$5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B143:D247</xm:sqref>
        </x14:conditionalFormatting>
        <x14:conditionalFormatting xmlns:xm="http://schemas.microsoft.com/office/excel/2006/main">
          <x14:cfRule type="containsText" priority="18" operator="containsText" id="{8864D851-3E60-4F53-9E4A-77DA44A5E508}">
            <xm:f>NOT(ISERROR(SEARCH($C$5,B3)))</xm:f>
            <xm:f>$C$5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B103:G103 B110:G110 B117:G117 B128:G128 B136:G136 B142:G142 B3:D109 B111:D116 B118:D127 B129:D135 B137:D141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09D6-8E10-4A3C-9F72-6FA963FB229D}">
  <dimension ref="A1:J245"/>
  <sheetViews>
    <sheetView topLeftCell="A209" workbookViewId="0">
      <selection activeCell="A246" sqref="A246"/>
    </sheetView>
  </sheetViews>
  <sheetFormatPr defaultRowHeight="14.5" x14ac:dyDescent="0.35"/>
  <sheetData>
    <row r="1" spans="1:10" x14ac:dyDescent="0.35">
      <c r="A1" t="str" cm="1">
        <f t="array" ref="A1:J245">Sheet1!A2:J246</f>
        <v>IID</v>
      </c>
      <c r="B1" t="str">
        <v>Flecking (white)</v>
      </c>
      <c r="C1" t="str">
        <v>Chlorosis (red)</v>
      </c>
      <c r="D1" t="str">
        <v>Necrosis</v>
      </c>
      <c r="E1" t="str">
        <v>Active sporulation (restr./not restr.)</v>
      </c>
      <c r="F1" t="str">
        <v>Coverage</v>
      </c>
      <c r="G1" t="str">
        <v>Imm. resp.</v>
      </c>
      <c r="H1" t="str">
        <v>COI scores</v>
      </c>
      <c r="I1" t="str">
        <v>Binary_MS</v>
      </c>
      <c r="J1" t="str">
        <v>Binary_MRMS</v>
      </c>
    </row>
    <row r="2" spans="1:10" x14ac:dyDescent="0.35">
      <c r="A2">
        <v>599</v>
      </c>
      <c r="B2" t="str">
        <v>Yes</v>
      </c>
      <c r="C2" t="str">
        <v>No</v>
      </c>
      <c r="D2" t="str">
        <v>No</v>
      </c>
      <c r="E2" t="str">
        <v>No</v>
      </c>
      <c r="F2">
        <v>5</v>
      </c>
      <c r="G2" t="str">
        <v>R</v>
      </c>
      <c r="H2">
        <v>1.25</v>
      </c>
      <c r="I2">
        <v>0</v>
      </c>
      <c r="J2">
        <v>0</v>
      </c>
    </row>
    <row r="3" spans="1:10" x14ac:dyDescent="0.35">
      <c r="A3">
        <v>585</v>
      </c>
      <c r="B3" t="str">
        <v>Yes</v>
      </c>
      <c r="C3" t="str">
        <v>No</v>
      </c>
      <c r="D3" t="str">
        <v>No</v>
      </c>
      <c r="E3" t="str">
        <v>No</v>
      </c>
      <c r="F3">
        <v>5</v>
      </c>
      <c r="G3" t="str">
        <v>R</v>
      </c>
      <c r="H3">
        <v>1.25</v>
      </c>
      <c r="I3">
        <v>0</v>
      </c>
      <c r="J3">
        <v>0</v>
      </c>
    </row>
    <row r="4" spans="1:10" x14ac:dyDescent="0.35">
      <c r="A4">
        <v>265</v>
      </c>
      <c r="B4" t="str">
        <v>Yes</v>
      </c>
      <c r="C4" t="str">
        <v>Yes</v>
      </c>
      <c r="D4" t="str">
        <v>Yes</v>
      </c>
      <c r="E4" t="str">
        <v>Unrestricted</v>
      </c>
      <c r="F4">
        <v>40</v>
      </c>
      <c r="G4" t="str">
        <v>S</v>
      </c>
      <c r="H4">
        <v>35</v>
      </c>
      <c r="I4">
        <v>1</v>
      </c>
      <c r="J4">
        <v>1</v>
      </c>
    </row>
    <row r="5" spans="1:10" x14ac:dyDescent="0.35">
      <c r="A5">
        <v>313</v>
      </c>
      <c r="B5" t="str">
        <v>Yes</v>
      </c>
      <c r="C5" t="str">
        <v>Yes</v>
      </c>
      <c r="D5" t="str">
        <v>No</v>
      </c>
      <c r="E5" t="str">
        <v>Unrestricted</v>
      </c>
      <c r="F5">
        <v>75</v>
      </c>
      <c r="G5" t="str">
        <v>S</v>
      </c>
      <c r="H5">
        <v>65.625</v>
      </c>
      <c r="I5">
        <v>1</v>
      </c>
      <c r="J5">
        <v>1</v>
      </c>
    </row>
    <row r="6" spans="1:10" x14ac:dyDescent="0.35">
      <c r="A6">
        <v>577</v>
      </c>
      <c r="B6" t="str">
        <v>Yes</v>
      </c>
      <c r="C6" t="str">
        <v>No</v>
      </c>
      <c r="D6" t="str">
        <v>No</v>
      </c>
      <c r="E6" t="str">
        <v>No</v>
      </c>
      <c r="F6">
        <v>5</v>
      </c>
      <c r="G6" t="str">
        <v>R</v>
      </c>
      <c r="H6">
        <v>1.25</v>
      </c>
      <c r="I6">
        <v>0</v>
      </c>
      <c r="J6">
        <v>0</v>
      </c>
    </row>
    <row r="7" spans="1:10" x14ac:dyDescent="0.35">
      <c r="A7">
        <v>541</v>
      </c>
      <c r="B7" t="str">
        <v>Yes</v>
      </c>
      <c r="C7" t="str">
        <v>Yes</v>
      </c>
      <c r="D7" t="str">
        <v>No</v>
      </c>
      <c r="E7" t="str">
        <v>No</v>
      </c>
      <c r="F7">
        <v>10</v>
      </c>
      <c r="G7" t="str">
        <v>R</v>
      </c>
      <c r="H7">
        <v>2.5</v>
      </c>
      <c r="I7">
        <v>0</v>
      </c>
      <c r="J7">
        <v>0</v>
      </c>
    </row>
    <row r="8" spans="1:10" x14ac:dyDescent="0.35">
      <c r="A8">
        <v>560</v>
      </c>
      <c r="B8" t="str">
        <v>Yes</v>
      </c>
      <c r="C8" t="str">
        <v>Yes</v>
      </c>
      <c r="D8" t="str">
        <v>No</v>
      </c>
      <c r="E8" t="str">
        <v>No</v>
      </c>
      <c r="F8">
        <v>10</v>
      </c>
      <c r="G8" t="str">
        <v>R</v>
      </c>
      <c r="H8">
        <v>2.5</v>
      </c>
      <c r="I8">
        <v>0</v>
      </c>
      <c r="J8">
        <v>0</v>
      </c>
    </row>
    <row r="9" spans="1:10" x14ac:dyDescent="0.35">
      <c r="A9">
        <v>576</v>
      </c>
      <c r="B9" t="str">
        <v>Yes</v>
      </c>
      <c r="C9" t="str">
        <v>Yes</v>
      </c>
      <c r="D9" t="str">
        <v>No</v>
      </c>
      <c r="E9" t="str">
        <v>No</v>
      </c>
      <c r="F9">
        <v>10</v>
      </c>
      <c r="G9" t="str">
        <v>R</v>
      </c>
      <c r="H9">
        <v>2.5</v>
      </c>
      <c r="I9">
        <v>0</v>
      </c>
      <c r="J9">
        <v>0</v>
      </c>
    </row>
    <row r="10" spans="1:10" x14ac:dyDescent="0.35">
      <c r="A10">
        <v>62</v>
      </c>
      <c r="B10" t="str">
        <v>No</v>
      </c>
      <c r="C10" t="str">
        <v>Yes</v>
      </c>
      <c r="D10" t="str">
        <v>No</v>
      </c>
      <c r="E10" t="str">
        <v>Unrestricted</v>
      </c>
      <c r="F10">
        <v>25</v>
      </c>
      <c r="G10" t="str">
        <v>MS</v>
      </c>
      <c r="H10">
        <v>18.75</v>
      </c>
      <c r="I10">
        <v>1</v>
      </c>
      <c r="J10">
        <v>1</v>
      </c>
    </row>
    <row r="11" spans="1:10" x14ac:dyDescent="0.35">
      <c r="A11">
        <v>667</v>
      </c>
      <c r="B11" t="str">
        <v>No</v>
      </c>
      <c r="C11" t="str">
        <v>No</v>
      </c>
      <c r="D11" t="str">
        <v>No</v>
      </c>
      <c r="E11" t="str">
        <v>No</v>
      </c>
      <c r="F11">
        <v>0</v>
      </c>
      <c r="G11" t="str">
        <v>HR</v>
      </c>
      <c r="H11">
        <v>0</v>
      </c>
      <c r="I11">
        <v>0</v>
      </c>
      <c r="J11">
        <v>0</v>
      </c>
    </row>
    <row r="12" spans="1:10" x14ac:dyDescent="0.35">
      <c r="A12">
        <v>544</v>
      </c>
      <c r="B12" t="str">
        <v>No</v>
      </c>
      <c r="C12" t="str">
        <v>Yes</v>
      </c>
      <c r="D12" t="str">
        <v>No</v>
      </c>
      <c r="E12" t="str">
        <v>No</v>
      </c>
      <c r="F12">
        <v>5</v>
      </c>
      <c r="G12" t="str">
        <v>R</v>
      </c>
      <c r="H12">
        <v>1.25</v>
      </c>
      <c r="I12">
        <v>0</v>
      </c>
      <c r="J12">
        <v>0</v>
      </c>
    </row>
    <row r="13" spans="1:10" x14ac:dyDescent="0.35">
      <c r="A13">
        <v>614</v>
      </c>
      <c r="B13" t="str">
        <v>No</v>
      </c>
      <c r="C13" t="str">
        <v>Yes</v>
      </c>
      <c r="D13" t="str">
        <v>No</v>
      </c>
      <c r="E13" t="str">
        <v>Unrestricted</v>
      </c>
      <c r="F13">
        <v>15</v>
      </c>
      <c r="G13" t="str">
        <v>S</v>
      </c>
      <c r="H13">
        <v>13.125</v>
      </c>
      <c r="I13">
        <v>1</v>
      </c>
      <c r="J13">
        <v>1</v>
      </c>
    </row>
    <row r="14" spans="1:10" x14ac:dyDescent="0.35">
      <c r="A14">
        <v>408</v>
      </c>
      <c r="B14" t="str">
        <v>No</v>
      </c>
      <c r="C14" t="str">
        <v>Yes</v>
      </c>
      <c r="D14" t="str">
        <v>Yes</v>
      </c>
      <c r="E14" t="str">
        <v>Restricted</v>
      </c>
      <c r="F14">
        <v>15</v>
      </c>
      <c r="G14" t="str">
        <v>MS</v>
      </c>
      <c r="H14">
        <v>11.25</v>
      </c>
      <c r="I14">
        <v>1</v>
      </c>
      <c r="J14">
        <v>1</v>
      </c>
    </row>
    <row r="15" spans="1:10" x14ac:dyDescent="0.35">
      <c r="A15">
        <v>129</v>
      </c>
      <c r="B15" t="str">
        <v>Yes</v>
      </c>
      <c r="C15" t="str">
        <v>Yes</v>
      </c>
      <c r="D15" t="str">
        <v>No</v>
      </c>
      <c r="E15" t="str">
        <v>No</v>
      </c>
      <c r="F15">
        <v>25</v>
      </c>
      <c r="G15" t="str">
        <v>R</v>
      </c>
      <c r="H15">
        <v>6.25</v>
      </c>
      <c r="I15">
        <v>0</v>
      </c>
      <c r="J15">
        <v>0</v>
      </c>
    </row>
    <row r="16" spans="1:10" x14ac:dyDescent="0.35">
      <c r="A16">
        <v>315</v>
      </c>
      <c r="B16" t="str">
        <v>No</v>
      </c>
      <c r="C16" t="str">
        <v>No</v>
      </c>
      <c r="D16" t="str">
        <v>No</v>
      </c>
      <c r="E16" t="str">
        <v>Unrestricted</v>
      </c>
      <c r="F16">
        <v>60</v>
      </c>
      <c r="G16" t="str">
        <v>HS</v>
      </c>
      <c r="H16">
        <v>60</v>
      </c>
      <c r="I16">
        <v>1</v>
      </c>
      <c r="J16">
        <v>1</v>
      </c>
    </row>
    <row r="17" spans="1:10" x14ac:dyDescent="0.35">
      <c r="A17">
        <v>407</v>
      </c>
      <c r="B17" t="str">
        <v>No</v>
      </c>
      <c r="C17" t="str">
        <v>Yes</v>
      </c>
      <c r="D17" t="str">
        <v>No</v>
      </c>
      <c r="E17" t="str">
        <v>Restricted</v>
      </c>
      <c r="F17">
        <v>10</v>
      </c>
      <c r="G17" t="str">
        <v>MRMS</v>
      </c>
      <c r="H17">
        <v>5</v>
      </c>
      <c r="I17">
        <v>0</v>
      </c>
      <c r="J17">
        <v>1</v>
      </c>
    </row>
    <row r="18" spans="1:10" x14ac:dyDescent="0.35">
      <c r="A18">
        <v>712</v>
      </c>
      <c r="B18" t="str">
        <v>Yes</v>
      </c>
      <c r="C18" t="str">
        <v>No</v>
      </c>
      <c r="D18" t="str">
        <v>No</v>
      </c>
      <c r="E18" t="str">
        <v>No</v>
      </c>
      <c r="F18">
        <v>5</v>
      </c>
      <c r="G18" t="str">
        <v>R</v>
      </c>
      <c r="H18">
        <v>1.25</v>
      </c>
      <c r="I18">
        <v>0</v>
      </c>
      <c r="J18">
        <v>0</v>
      </c>
    </row>
    <row r="19" spans="1:10" x14ac:dyDescent="0.35">
      <c r="A19">
        <v>580</v>
      </c>
      <c r="B19" t="str">
        <v>Yes</v>
      </c>
      <c r="C19" t="str">
        <v>No</v>
      </c>
      <c r="D19" t="str">
        <v>No</v>
      </c>
      <c r="E19" t="str">
        <v>No</v>
      </c>
      <c r="F19">
        <v>5</v>
      </c>
      <c r="G19" t="str">
        <v>R</v>
      </c>
      <c r="H19">
        <v>1.25</v>
      </c>
      <c r="I19">
        <v>0</v>
      </c>
      <c r="J19">
        <v>0</v>
      </c>
    </row>
    <row r="20" spans="1:10" x14ac:dyDescent="0.35">
      <c r="A20">
        <v>388</v>
      </c>
      <c r="B20" t="str">
        <v>No</v>
      </c>
      <c r="C20" t="str">
        <v>No</v>
      </c>
      <c r="D20" t="str">
        <v>No</v>
      </c>
      <c r="E20" t="str">
        <v>Unrestricted</v>
      </c>
      <c r="F20">
        <v>40</v>
      </c>
      <c r="G20" t="str">
        <v>HS</v>
      </c>
      <c r="H20">
        <v>40</v>
      </c>
      <c r="I20">
        <v>1</v>
      </c>
      <c r="J20">
        <v>1</v>
      </c>
    </row>
    <row r="21" spans="1:10" x14ac:dyDescent="0.35">
      <c r="A21">
        <v>353</v>
      </c>
      <c r="B21" t="str">
        <v>Yes</v>
      </c>
      <c r="C21" t="str">
        <v>Yes</v>
      </c>
      <c r="D21" t="str">
        <v>No</v>
      </c>
      <c r="E21" t="str">
        <v>Unrestricted</v>
      </c>
      <c r="F21">
        <v>75</v>
      </c>
      <c r="G21" t="str">
        <v>S</v>
      </c>
      <c r="H21">
        <v>65.625</v>
      </c>
      <c r="I21">
        <v>1</v>
      </c>
      <c r="J21">
        <v>1</v>
      </c>
    </row>
    <row r="22" spans="1:10" x14ac:dyDescent="0.35">
      <c r="A22">
        <v>392</v>
      </c>
      <c r="B22" t="str">
        <v>No</v>
      </c>
      <c r="C22" t="str">
        <v>No</v>
      </c>
      <c r="D22" t="str">
        <v>No</v>
      </c>
      <c r="E22" t="str">
        <v>Unrestricted</v>
      </c>
      <c r="F22">
        <v>25</v>
      </c>
      <c r="G22" t="str">
        <v>HS</v>
      </c>
      <c r="H22">
        <v>25</v>
      </c>
      <c r="I22">
        <v>1</v>
      </c>
      <c r="J22">
        <v>1</v>
      </c>
    </row>
    <row r="23" spans="1:10" x14ac:dyDescent="0.35">
      <c r="A23">
        <v>710</v>
      </c>
      <c r="B23" t="str">
        <v>No</v>
      </c>
      <c r="C23" t="str">
        <v>No</v>
      </c>
      <c r="D23" t="str">
        <v>No</v>
      </c>
      <c r="E23" t="str">
        <v>No</v>
      </c>
      <c r="F23">
        <v>0</v>
      </c>
      <c r="G23" t="str">
        <v>HR</v>
      </c>
      <c r="H23">
        <v>0</v>
      </c>
      <c r="I23">
        <v>0</v>
      </c>
      <c r="J23">
        <v>0</v>
      </c>
    </row>
    <row r="24" spans="1:10" x14ac:dyDescent="0.35">
      <c r="A24">
        <v>565</v>
      </c>
      <c r="B24" t="str">
        <v>No</v>
      </c>
      <c r="C24" t="str">
        <v>No</v>
      </c>
      <c r="D24" t="str">
        <v>No</v>
      </c>
      <c r="E24" t="str">
        <v>No</v>
      </c>
      <c r="F24">
        <v>0</v>
      </c>
      <c r="G24" t="str">
        <v>HR</v>
      </c>
      <c r="H24">
        <v>0</v>
      </c>
      <c r="I24">
        <v>0</v>
      </c>
      <c r="J24">
        <v>0</v>
      </c>
    </row>
    <row r="25" spans="1:10" x14ac:dyDescent="0.35">
      <c r="A25">
        <v>657</v>
      </c>
      <c r="B25" t="str">
        <v>No</v>
      </c>
      <c r="C25" t="str">
        <v>Yes</v>
      </c>
      <c r="D25" t="str">
        <v>No</v>
      </c>
      <c r="E25" t="str">
        <v>Unrestricted</v>
      </c>
      <c r="F25">
        <v>15</v>
      </c>
      <c r="G25" t="str">
        <v>MS</v>
      </c>
      <c r="H25">
        <v>11.25</v>
      </c>
      <c r="I25">
        <v>1</v>
      </c>
      <c r="J25">
        <v>1</v>
      </c>
    </row>
    <row r="26" spans="1:10" x14ac:dyDescent="0.35">
      <c r="A26">
        <v>438</v>
      </c>
      <c r="B26" t="str">
        <v>No</v>
      </c>
      <c r="C26" t="str">
        <v>Yes</v>
      </c>
      <c r="D26" t="str">
        <v>No</v>
      </c>
      <c r="E26" t="str">
        <v>Unrestricted</v>
      </c>
      <c r="F26">
        <v>40</v>
      </c>
      <c r="G26" t="str">
        <v>S</v>
      </c>
      <c r="H26">
        <v>35</v>
      </c>
      <c r="I26">
        <v>1</v>
      </c>
      <c r="J26">
        <v>1</v>
      </c>
    </row>
    <row r="27" spans="1:10" x14ac:dyDescent="0.35">
      <c r="A27">
        <v>285</v>
      </c>
      <c r="B27" t="str">
        <v>Yes</v>
      </c>
      <c r="C27" t="str">
        <v>Yes</v>
      </c>
      <c r="D27" t="str">
        <v>No</v>
      </c>
      <c r="E27" t="str">
        <v>Unrestricted</v>
      </c>
      <c r="F27">
        <v>40</v>
      </c>
      <c r="G27" t="str">
        <v>S</v>
      </c>
      <c r="H27">
        <v>35</v>
      </c>
      <c r="I27">
        <v>1</v>
      </c>
      <c r="J27">
        <v>1</v>
      </c>
    </row>
    <row r="28" spans="1:10" x14ac:dyDescent="0.35">
      <c r="A28">
        <v>218</v>
      </c>
      <c r="B28" t="str">
        <v>Yes</v>
      </c>
      <c r="C28" t="str">
        <v>Yes</v>
      </c>
      <c r="D28" t="str">
        <v>Yes</v>
      </c>
      <c r="E28" t="str">
        <v>Restricted</v>
      </c>
      <c r="F28">
        <v>60</v>
      </c>
      <c r="G28" t="str">
        <v>MRMS</v>
      </c>
      <c r="H28">
        <v>30</v>
      </c>
      <c r="I28">
        <v>0</v>
      </c>
      <c r="J28">
        <v>1</v>
      </c>
    </row>
    <row r="29" spans="1:10" x14ac:dyDescent="0.35">
      <c r="A29">
        <v>558</v>
      </c>
      <c r="B29" t="str">
        <v>No</v>
      </c>
      <c r="C29" t="str">
        <v>No</v>
      </c>
      <c r="D29" t="str">
        <v>No</v>
      </c>
      <c r="E29" t="str">
        <v>No</v>
      </c>
      <c r="F29">
        <v>0</v>
      </c>
      <c r="G29" t="str">
        <v>HR</v>
      </c>
      <c r="H29">
        <v>0</v>
      </c>
      <c r="I29">
        <v>0</v>
      </c>
      <c r="J29">
        <v>0</v>
      </c>
    </row>
    <row r="30" spans="1:10" x14ac:dyDescent="0.35">
      <c r="A30">
        <v>449</v>
      </c>
      <c r="B30" t="str">
        <v>No</v>
      </c>
      <c r="C30" t="str">
        <v>No</v>
      </c>
      <c r="D30" t="str">
        <v>No</v>
      </c>
      <c r="E30" t="str">
        <v>Unrestricted</v>
      </c>
      <c r="F30">
        <v>30</v>
      </c>
      <c r="G30" t="str">
        <v>HS</v>
      </c>
      <c r="H30">
        <v>30</v>
      </c>
      <c r="I30">
        <v>1</v>
      </c>
      <c r="J30">
        <v>1</v>
      </c>
    </row>
    <row r="31" spans="1:10" x14ac:dyDescent="0.35">
      <c r="A31">
        <v>709</v>
      </c>
      <c r="B31" t="str">
        <v>No</v>
      </c>
      <c r="C31" t="str">
        <v>No</v>
      </c>
      <c r="D31" t="str">
        <v>No</v>
      </c>
      <c r="E31" t="str">
        <v>No</v>
      </c>
      <c r="F31">
        <v>0</v>
      </c>
      <c r="G31" t="str">
        <v>HR</v>
      </c>
      <c r="H31">
        <v>0</v>
      </c>
      <c r="I31">
        <v>0</v>
      </c>
      <c r="J31">
        <v>0</v>
      </c>
    </row>
    <row r="32" spans="1:10" x14ac:dyDescent="0.35">
      <c r="A32">
        <v>1</v>
      </c>
      <c r="B32" t="str">
        <v>No</v>
      </c>
      <c r="C32" t="str">
        <v>Yes</v>
      </c>
      <c r="D32" t="str">
        <v>No</v>
      </c>
      <c r="E32" t="str">
        <v>No</v>
      </c>
      <c r="F32">
        <v>5</v>
      </c>
      <c r="G32" t="str">
        <v>R</v>
      </c>
      <c r="H32">
        <v>1.25</v>
      </c>
      <c r="I32">
        <v>0</v>
      </c>
      <c r="J32">
        <v>0</v>
      </c>
    </row>
    <row r="33" spans="1:10" x14ac:dyDescent="0.35">
      <c r="A33">
        <v>340</v>
      </c>
      <c r="B33" t="str">
        <v>Yes</v>
      </c>
      <c r="C33" t="str">
        <v>Yes</v>
      </c>
      <c r="D33" t="str">
        <v>No</v>
      </c>
      <c r="E33" t="str">
        <v>Restricted</v>
      </c>
      <c r="F33">
        <v>10</v>
      </c>
      <c r="G33" t="str">
        <v>MRMS</v>
      </c>
      <c r="H33">
        <v>5</v>
      </c>
      <c r="I33">
        <v>0</v>
      </c>
      <c r="J33">
        <v>1</v>
      </c>
    </row>
    <row r="34" spans="1:10" x14ac:dyDescent="0.35">
      <c r="A34">
        <v>611</v>
      </c>
      <c r="B34" t="str">
        <v>No</v>
      </c>
      <c r="C34" t="str">
        <v>No</v>
      </c>
      <c r="D34" t="str">
        <v>No</v>
      </c>
      <c r="E34" t="str">
        <v>No</v>
      </c>
      <c r="F34">
        <v>0</v>
      </c>
      <c r="G34" t="str">
        <v>HR</v>
      </c>
      <c r="H34">
        <v>0</v>
      </c>
      <c r="I34">
        <v>0</v>
      </c>
      <c r="J34">
        <v>0</v>
      </c>
    </row>
    <row r="35" spans="1:10" x14ac:dyDescent="0.35">
      <c r="A35">
        <v>359</v>
      </c>
      <c r="B35" t="str">
        <v>Yes</v>
      </c>
      <c r="C35" t="str">
        <v>Yes</v>
      </c>
      <c r="D35" t="str">
        <v>No</v>
      </c>
      <c r="E35" t="str">
        <v>Unrestricted</v>
      </c>
      <c r="F35">
        <v>75</v>
      </c>
      <c r="G35" t="str">
        <v>S</v>
      </c>
      <c r="H35">
        <v>65.625</v>
      </c>
      <c r="I35">
        <v>1</v>
      </c>
      <c r="J35">
        <v>1</v>
      </c>
    </row>
    <row r="36" spans="1:10" x14ac:dyDescent="0.35">
      <c r="A36">
        <v>714</v>
      </c>
      <c r="B36" t="str">
        <v>No</v>
      </c>
      <c r="C36" t="str">
        <v>No</v>
      </c>
      <c r="D36" t="str">
        <v>No</v>
      </c>
      <c r="E36" t="str">
        <v>No</v>
      </c>
      <c r="F36">
        <v>0</v>
      </c>
      <c r="G36" t="str">
        <v>HR</v>
      </c>
      <c r="H36">
        <v>0</v>
      </c>
      <c r="I36">
        <v>0</v>
      </c>
      <c r="J36">
        <v>0</v>
      </c>
    </row>
    <row r="37" spans="1:10" x14ac:dyDescent="0.35">
      <c r="A37">
        <v>40</v>
      </c>
      <c r="B37" t="str">
        <v>Yes</v>
      </c>
      <c r="C37" t="str">
        <v>No</v>
      </c>
      <c r="D37" t="str">
        <v>No</v>
      </c>
      <c r="E37" t="str">
        <v>No</v>
      </c>
      <c r="F37">
        <v>5</v>
      </c>
      <c r="G37" t="str">
        <v>R</v>
      </c>
      <c r="H37">
        <v>1.25</v>
      </c>
      <c r="I37">
        <v>0</v>
      </c>
      <c r="J37">
        <v>0</v>
      </c>
    </row>
    <row r="38" spans="1:10" x14ac:dyDescent="0.35">
      <c r="A38">
        <v>430</v>
      </c>
      <c r="B38" t="str">
        <v>Yes</v>
      </c>
      <c r="C38" t="str">
        <v>Yes</v>
      </c>
      <c r="D38" t="str">
        <v>Yes</v>
      </c>
      <c r="E38" t="str">
        <v>Mix</v>
      </c>
      <c r="F38">
        <v>25</v>
      </c>
      <c r="G38" t="str">
        <v>MS</v>
      </c>
      <c r="H38">
        <v>18.75</v>
      </c>
      <c r="I38">
        <v>1</v>
      </c>
      <c r="J38">
        <v>1</v>
      </c>
    </row>
    <row r="39" spans="1:10" x14ac:dyDescent="0.35">
      <c r="A39">
        <v>14</v>
      </c>
      <c r="B39" t="str">
        <v>No</v>
      </c>
      <c r="C39" t="str">
        <v>No</v>
      </c>
      <c r="D39" t="str">
        <v>No</v>
      </c>
      <c r="E39" t="str">
        <v>No</v>
      </c>
      <c r="F39">
        <v>0</v>
      </c>
      <c r="G39" t="str">
        <v>HR</v>
      </c>
      <c r="H39">
        <v>0</v>
      </c>
      <c r="I39">
        <v>0</v>
      </c>
      <c r="J39">
        <v>0</v>
      </c>
    </row>
    <row r="40" spans="1:10" x14ac:dyDescent="0.35">
      <c r="A40">
        <v>207</v>
      </c>
      <c r="B40" t="str">
        <v>No</v>
      </c>
      <c r="C40" t="str">
        <v>Yes</v>
      </c>
      <c r="D40" t="str">
        <v>No</v>
      </c>
      <c r="E40" t="str">
        <v>No</v>
      </c>
      <c r="F40">
        <v>10</v>
      </c>
      <c r="G40" t="str">
        <v>R</v>
      </c>
      <c r="H40">
        <v>2.5</v>
      </c>
      <c r="I40">
        <v>0</v>
      </c>
      <c r="J40">
        <v>0</v>
      </c>
    </row>
    <row r="41" spans="1:10" x14ac:dyDescent="0.35">
      <c r="A41">
        <v>387</v>
      </c>
      <c r="B41" t="str">
        <v>No</v>
      </c>
      <c r="C41" t="str">
        <v>No</v>
      </c>
      <c r="D41" t="str">
        <v>No</v>
      </c>
      <c r="E41" t="str">
        <v>No</v>
      </c>
      <c r="F41">
        <v>0</v>
      </c>
      <c r="G41" t="str">
        <v>HR</v>
      </c>
      <c r="H41">
        <v>0</v>
      </c>
      <c r="I41">
        <v>0</v>
      </c>
      <c r="J41">
        <v>0</v>
      </c>
    </row>
    <row r="42" spans="1:10" x14ac:dyDescent="0.35">
      <c r="A42">
        <v>93</v>
      </c>
      <c r="B42" t="str">
        <v>No</v>
      </c>
      <c r="C42" t="str">
        <v>Yes</v>
      </c>
      <c r="D42" t="str">
        <v>No</v>
      </c>
      <c r="E42" t="str">
        <v>Restricted</v>
      </c>
      <c r="F42">
        <v>10</v>
      </c>
      <c r="G42" t="str">
        <v>MRMS</v>
      </c>
      <c r="H42">
        <v>5</v>
      </c>
      <c r="I42">
        <v>0</v>
      </c>
      <c r="J42">
        <v>1</v>
      </c>
    </row>
    <row r="43" spans="1:10" x14ac:dyDescent="0.35">
      <c r="A43">
        <v>485</v>
      </c>
      <c r="B43" t="str">
        <v>No</v>
      </c>
      <c r="C43" t="str">
        <v>No</v>
      </c>
      <c r="D43" t="str">
        <v>No</v>
      </c>
      <c r="E43" t="str">
        <v>No</v>
      </c>
      <c r="F43">
        <v>0</v>
      </c>
      <c r="G43" t="str">
        <v>HR</v>
      </c>
      <c r="H43">
        <v>0</v>
      </c>
      <c r="I43">
        <v>0</v>
      </c>
      <c r="J43">
        <v>0</v>
      </c>
    </row>
    <row r="44" spans="1:10" x14ac:dyDescent="0.35">
      <c r="A44">
        <v>730</v>
      </c>
      <c r="B44" t="str">
        <v>No</v>
      </c>
      <c r="C44" t="str">
        <v>No</v>
      </c>
      <c r="D44" t="str">
        <v>No</v>
      </c>
      <c r="E44" t="str">
        <v>No</v>
      </c>
      <c r="F44">
        <v>0</v>
      </c>
      <c r="G44" t="str">
        <v>HR</v>
      </c>
      <c r="H44">
        <v>0</v>
      </c>
      <c r="I44">
        <v>0</v>
      </c>
      <c r="J44">
        <v>0</v>
      </c>
    </row>
    <row r="45" spans="1:10" x14ac:dyDescent="0.35">
      <c r="A45">
        <v>209</v>
      </c>
      <c r="B45" t="str">
        <v>Yes</v>
      </c>
      <c r="C45" t="str">
        <v>Yes</v>
      </c>
      <c r="D45" t="str">
        <v>No</v>
      </c>
      <c r="E45" t="str">
        <v>Restricted</v>
      </c>
      <c r="F45">
        <v>15</v>
      </c>
      <c r="G45" t="str">
        <v>MRMS</v>
      </c>
      <c r="H45">
        <v>7.5</v>
      </c>
      <c r="I45">
        <v>0</v>
      </c>
      <c r="J45">
        <v>1</v>
      </c>
    </row>
    <row r="46" spans="1:10" x14ac:dyDescent="0.35">
      <c r="A46">
        <v>595</v>
      </c>
      <c r="B46" t="str">
        <v>No</v>
      </c>
      <c r="C46" t="str">
        <v>No</v>
      </c>
      <c r="D46" t="str">
        <v>No</v>
      </c>
      <c r="E46" t="str">
        <v>No</v>
      </c>
      <c r="F46">
        <v>0</v>
      </c>
      <c r="G46" t="str">
        <v>HR</v>
      </c>
      <c r="H46">
        <v>0</v>
      </c>
      <c r="I46">
        <v>0</v>
      </c>
      <c r="J46">
        <v>0</v>
      </c>
    </row>
    <row r="47" spans="1:10" x14ac:dyDescent="0.35">
      <c r="A47">
        <v>426</v>
      </c>
      <c r="B47" t="str">
        <v>Yes</v>
      </c>
      <c r="C47" t="str">
        <v>Yes</v>
      </c>
      <c r="D47" t="str">
        <v>No</v>
      </c>
      <c r="E47" t="str">
        <v>Unrestricted</v>
      </c>
      <c r="F47">
        <v>30</v>
      </c>
      <c r="G47" t="str">
        <v>S</v>
      </c>
      <c r="H47">
        <v>26.25</v>
      </c>
      <c r="I47">
        <v>1</v>
      </c>
      <c r="J47">
        <v>1</v>
      </c>
    </row>
    <row r="48" spans="1:10" x14ac:dyDescent="0.35">
      <c r="A48">
        <v>540</v>
      </c>
      <c r="B48" t="str">
        <v>No</v>
      </c>
      <c r="C48" t="str">
        <v>No</v>
      </c>
      <c r="D48" t="str">
        <v>No</v>
      </c>
      <c r="E48" t="str">
        <v>No</v>
      </c>
      <c r="F48">
        <v>0</v>
      </c>
      <c r="G48" t="str">
        <v>HR</v>
      </c>
      <c r="H48">
        <v>0</v>
      </c>
      <c r="I48">
        <v>0</v>
      </c>
      <c r="J48">
        <v>0</v>
      </c>
    </row>
    <row r="49" spans="1:10" x14ac:dyDescent="0.35">
      <c r="A49">
        <v>736</v>
      </c>
      <c r="B49" t="str">
        <v>No</v>
      </c>
      <c r="C49" t="str">
        <v>No</v>
      </c>
      <c r="D49" t="str">
        <v>No</v>
      </c>
      <c r="E49" t="str">
        <v>No</v>
      </c>
      <c r="F49">
        <v>0</v>
      </c>
      <c r="G49" t="str">
        <v>HR</v>
      </c>
      <c r="H49">
        <v>0</v>
      </c>
      <c r="I49">
        <v>0</v>
      </c>
      <c r="J49">
        <v>0</v>
      </c>
    </row>
    <row r="50" spans="1:10" x14ac:dyDescent="0.35">
      <c r="A50">
        <v>36</v>
      </c>
      <c r="B50" t="str">
        <v>No</v>
      </c>
      <c r="C50" t="str">
        <v>Yes</v>
      </c>
      <c r="D50" t="str">
        <v>No</v>
      </c>
      <c r="E50" t="str">
        <v>No</v>
      </c>
      <c r="F50">
        <v>5</v>
      </c>
      <c r="G50" t="str">
        <v>R</v>
      </c>
      <c r="H50">
        <v>1.25</v>
      </c>
      <c r="I50">
        <v>0</v>
      </c>
      <c r="J50">
        <v>0</v>
      </c>
    </row>
    <row r="51" spans="1:10" x14ac:dyDescent="0.35">
      <c r="A51">
        <v>591</v>
      </c>
      <c r="B51" t="str">
        <v>Yes</v>
      </c>
      <c r="C51" t="str">
        <v>No</v>
      </c>
      <c r="D51" t="str">
        <v>No</v>
      </c>
      <c r="E51" t="str">
        <v>No</v>
      </c>
      <c r="F51">
        <v>5</v>
      </c>
      <c r="G51" t="str">
        <v>R</v>
      </c>
      <c r="H51">
        <v>1.25</v>
      </c>
      <c r="I51">
        <v>0</v>
      </c>
      <c r="J51">
        <v>0</v>
      </c>
    </row>
    <row r="52" spans="1:10" x14ac:dyDescent="0.35">
      <c r="A52">
        <v>462</v>
      </c>
      <c r="B52" t="str">
        <v>No</v>
      </c>
      <c r="C52" t="str">
        <v>No</v>
      </c>
      <c r="D52" t="str">
        <v>Yes</v>
      </c>
      <c r="E52" t="str">
        <v>No</v>
      </c>
      <c r="F52">
        <v>10</v>
      </c>
      <c r="G52" t="str">
        <v>R</v>
      </c>
      <c r="H52">
        <v>2.5</v>
      </c>
      <c r="I52">
        <v>0</v>
      </c>
      <c r="J52">
        <v>0</v>
      </c>
    </row>
    <row r="53" spans="1:10" x14ac:dyDescent="0.35">
      <c r="A53">
        <v>484</v>
      </c>
      <c r="B53" t="str">
        <v>No</v>
      </c>
      <c r="C53" t="str">
        <v>Yes</v>
      </c>
      <c r="D53" t="str">
        <v>No</v>
      </c>
      <c r="E53" t="str">
        <v>No</v>
      </c>
      <c r="F53">
        <v>5</v>
      </c>
      <c r="G53" t="str">
        <v>r</v>
      </c>
      <c r="H53">
        <v>1.25</v>
      </c>
      <c r="I53">
        <v>0</v>
      </c>
      <c r="J53">
        <v>0</v>
      </c>
    </row>
    <row r="54" spans="1:10" x14ac:dyDescent="0.35">
      <c r="A54">
        <v>54</v>
      </c>
      <c r="B54" t="str">
        <v>Yes</v>
      </c>
      <c r="C54" t="str">
        <v>Yes</v>
      </c>
      <c r="D54" t="str">
        <v>No</v>
      </c>
      <c r="E54" t="str">
        <v>No</v>
      </c>
      <c r="F54">
        <v>5</v>
      </c>
      <c r="G54" t="str">
        <v>r</v>
      </c>
      <c r="H54">
        <v>1.25</v>
      </c>
      <c r="I54">
        <v>0</v>
      </c>
      <c r="J54">
        <v>0</v>
      </c>
    </row>
    <row r="55" spans="1:10" x14ac:dyDescent="0.35">
      <c r="A55">
        <v>654</v>
      </c>
      <c r="B55" t="str">
        <v>No</v>
      </c>
      <c r="C55" t="str">
        <v>No</v>
      </c>
      <c r="D55" t="str">
        <v>No</v>
      </c>
      <c r="E55" t="str">
        <v>No</v>
      </c>
      <c r="F55">
        <v>0</v>
      </c>
      <c r="G55" t="str">
        <v>HR</v>
      </c>
      <c r="H55">
        <v>0</v>
      </c>
      <c r="I55">
        <v>0</v>
      </c>
      <c r="J55">
        <v>0</v>
      </c>
    </row>
    <row r="56" spans="1:10" x14ac:dyDescent="0.35">
      <c r="A56">
        <v>692</v>
      </c>
      <c r="B56" t="str">
        <v>No</v>
      </c>
      <c r="C56" t="str">
        <v>No</v>
      </c>
      <c r="D56" t="str">
        <v>No</v>
      </c>
      <c r="E56" t="str">
        <v>No</v>
      </c>
      <c r="F56">
        <v>0</v>
      </c>
      <c r="G56" t="str">
        <v>HR</v>
      </c>
      <c r="H56">
        <v>0</v>
      </c>
      <c r="I56">
        <v>0</v>
      </c>
      <c r="J56">
        <v>0</v>
      </c>
    </row>
    <row r="57" spans="1:10" x14ac:dyDescent="0.35">
      <c r="A57">
        <v>740</v>
      </c>
      <c r="B57" t="str">
        <v>Yes</v>
      </c>
      <c r="C57" t="str">
        <v>Yes</v>
      </c>
      <c r="D57" t="str">
        <v>No</v>
      </c>
      <c r="E57" t="str">
        <v>Restricted</v>
      </c>
      <c r="F57">
        <v>10</v>
      </c>
      <c r="G57" t="str">
        <v>MRMS</v>
      </c>
      <c r="H57">
        <v>5</v>
      </c>
      <c r="I57">
        <v>0</v>
      </c>
      <c r="J57">
        <v>1</v>
      </c>
    </row>
    <row r="58" spans="1:10" x14ac:dyDescent="0.35">
      <c r="A58">
        <v>557</v>
      </c>
      <c r="B58" t="str">
        <v>Yes</v>
      </c>
      <c r="C58" t="str">
        <v>No</v>
      </c>
      <c r="D58" t="str">
        <v>No</v>
      </c>
      <c r="E58" t="str">
        <v>No</v>
      </c>
      <c r="F58">
        <v>5</v>
      </c>
      <c r="G58" t="str">
        <v>R</v>
      </c>
      <c r="H58">
        <v>1.25</v>
      </c>
      <c r="I58">
        <v>0</v>
      </c>
      <c r="J58">
        <v>0</v>
      </c>
    </row>
    <row r="59" spans="1:10" x14ac:dyDescent="0.35">
      <c r="A59">
        <v>521</v>
      </c>
      <c r="B59" t="str">
        <v>No</v>
      </c>
      <c r="C59" t="str">
        <v>No</v>
      </c>
      <c r="D59" t="str">
        <v>No</v>
      </c>
      <c r="E59" t="str">
        <v>No</v>
      </c>
      <c r="F59">
        <v>0</v>
      </c>
      <c r="G59" t="str">
        <v>HR</v>
      </c>
      <c r="H59">
        <v>0</v>
      </c>
      <c r="I59">
        <v>0</v>
      </c>
      <c r="J59">
        <v>0</v>
      </c>
    </row>
    <row r="60" spans="1:10" x14ac:dyDescent="0.35">
      <c r="A60">
        <v>331</v>
      </c>
      <c r="B60" t="str">
        <v>No</v>
      </c>
      <c r="C60" t="str">
        <v>No</v>
      </c>
      <c r="D60" t="str">
        <v>No</v>
      </c>
      <c r="E60" t="str">
        <v>Unrestricted</v>
      </c>
      <c r="F60">
        <v>20</v>
      </c>
      <c r="G60" t="str">
        <v>HS</v>
      </c>
      <c r="H60">
        <v>20</v>
      </c>
      <c r="I60">
        <v>1</v>
      </c>
      <c r="J60">
        <v>1</v>
      </c>
    </row>
    <row r="61" spans="1:10" x14ac:dyDescent="0.35">
      <c r="A61">
        <v>206</v>
      </c>
      <c r="B61" t="str">
        <v>Yes</v>
      </c>
      <c r="C61" t="str">
        <v>Yes</v>
      </c>
      <c r="D61" t="str">
        <v>No</v>
      </c>
      <c r="E61" t="str">
        <v>Unrestricted</v>
      </c>
      <c r="F61">
        <v>40</v>
      </c>
      <c r="G61" t="str">
        <v>HS</v>
      </c>
      <c r="H61">
        <v>40</v>
      </c>
      <c r="I61">
        <v>1</v>
      </c>
      <c r="J61">
        <v>1</v>
      </c>
    </row>
    <row r="62" spans="1:10" x14ac:dyDescent="0.35">
      <c r="A62">
        <v>744</v>
      </c>
      <c r="B62" t="str">
        <v>No</v>
      </c>
      <c r="C62" t="str">
        <v>Yes</v>
      </c>
      <c r="D62" t="str">
        <v>No</v>
      </c>
      <c r="E62" t="str">
        <v>Unrestricted</v>
      </c>
      <c r="F62">
        <v>50</v>
      </c>
      <c r="G62" t="str">
        <v>s</v>
      </c>
      <c r="H62">
        <v>43.75</v>
      </c>
      <c r="I62">
        <v>1</v>
      </c>
      <c r="J62">
        <v>1</v>
      </c>
    </row>
    <row r="63" spans="1:10" x14ac:dyDescent="0.35">
      <c r="A63">
        <v>372</v>
      </c>
      <c r="B63" t="str">
        <v>No</v>
      </c>
      <c r="C63" t="str">
        <v>Yes</v>
      </c>
      <c r="D63" t="str">
        <v>No</v>
      </c>
      <c r="E63" t="str">
        <v>Mix</v>
      </c>
      <c r="F63">
        <v>10</v>
      </c>
      <c r="G63" t="str">
        <v>MS</v>
      </c>
      <c r="H63">
        <v>7.5</v>
      </c>
      <c r="I63">
        <v>1</v>
      </c>
      <c r="J63">
        <v>1</v>
      </c>
    </row>
    <row r="64" spans="1:10" x14ac:dyDescent="0.35">
      <c r="A64">
        <v>338</v>
      </c>
      <c r="B64" t="str">
        <v>No</v>
      </c>
      <c r="C64" t="str">
        <v>No</v>
      </c>
      <c r="D64" t="str">
        <v>No</v>
      </c>
      <c r="E64" t="str">
        <v>No</v>
      </c>
      <c r="F64">
        <v>0</v>
      </c>
      <c r="G64" t="str">
        <v>HR</v>
      </c>
      <c r="H64">
        <v>0</v>
      </c>
      <c r="I64">
        <v>0</v>
      </c>
      <c r="J64">
        <v>0</v>
      </c>
    </row>
    <row r="65" spans="1:10" x14ac:dyDescent="0.35">
      <c r="A65">
        <v>600</v>
      </c>
      <c r="B65" t="str">
        <v>Yes</v>
      </c>
      <c r="C65" t="str">
        <v>No</v>
      </c>
      <c r="D65" t="str">
        <v>No</v>
      </c>
      <c r="E65" t="str">
        <v>No</v>
      </c>
      <c r="F65">
        <v>5</v>
      </c>
      <c r="G65" t="str">
        <v>R</v>
      </c>
      <c r="H65">
        <v>1.25</v>
      </c>
      <c r="I65">
        <v>0</v>
      </c>
      <c r="J65">
        <v>0</v>
      </c>
    </row>
    <row r="66" spans="1:10" x14ac:dyDescent="0.35">
      <c r="A66">
        <v>19</v>
      </c>
      <c r="B66" t="str">
        <v>No</v>
      </c>
      <c r="C66" t="str">
        <v>Yes</v>
      </c>
      <c r="D66" t="str">
        <v>No</v>
      </c>
      <c r="E66" t="str">
        <v>No</v>
      </c>
      <c r="F66">
        <v>25</v>
      </c>
      <c r="G66" t="str">
        <v>R</v>
      </c>
      <c r="H66">
        <v>6.25</v>
      </c>
      <c r="I66">
        <v>0</v>
      </c>
      <c r="J66">
        <v>0</v>
      </c>
    </row>
    <row r="67" spans="1:10" x14ac:dyDescent="0.35">
      <c r="A67">
        <v>142</v>
      </c>
      <c r="B67" t="str">
        <v>No</v>
      </c>
      <c r="C67" t="str">
        <v>Yes</v>
      </c>
      <c r="D67" t="str">
        <v>No</v>
      </c>
      <c r="E67" t="str">
        <v>Mix</v>
      </c>
      <c r="F67">
        <v>45</v>
      </c>
      <c r="G67" t="str">
        <v>MS</v>
      </c>
      <c r="H67">
        <v>33.75</v>
      </c>
      <c r="I67">
        <v>1</v>
      </c>
      <c r="J67">
        <v>1</v>
      </c>
    </row>
    <row r="68" spans="1:10" x14ac:dyDescent="0.35">
      <c r="A68">
        <v>409</v>
      </c>
      <c r="B68" t="str">
        <v>Yes</v>
      </c>
      <c r="C68" t="str">
        <v>Yes</v>
      </c>
      <c r="D68" t="str">
        <v>No</v>
      </c>
      <c r="E68" t="str">
        <v>No</v>
      </c>
      <c r="F68">
        <v>5</v>
      </c>
      <c r="G68" t="str">
        <v>R</v>
      </c>
      <c r="H68">
        <v>1.25</v>
      </c>
      <c r="I68">
        <v>0</v>
      </c>
      <c r="J68">
        <v>0</v>
      </c>
    </row>
    <row r="69" spans="1:10" x14ac:dyDescent="0.35">
      <c r="A69">
        <v>446</v>
      </c>
      <c r="B69" t="str">
        <v>No</v>
      </c>
      <c r="C69" t="str">
        <v>No</v>
      </c>
      <c r="D69" t="str">
        <v>No</v>
      </c>
      <c r="E69" t="str">
        <v>No</v>
      </c>
      <c r="F69">
        <v>0</v>
      </c>
      <c r="G69" t="str">
        <v>HR</v>
      </c>
      <c r="H69">
        <v>0</v>
      </c>
      <c r="I69">
        <v>0</v>
      </c>
      <c r="J69">
        <v>0</v>
      </c>
    </row>
    <row r="70" spans="1:10" x14ac:dyDescent="0.35">
      <c r="A70">
        <v>414</v>
      </c>
      <c r="B70" t="str">
        <v>No</v>
      </c>
      <c r="C70" t="str">
        <v>Yes</v>
      </c>
      <c r="D70" t="str">
        <v>Yes</v>
      </c>
      <c r="E70" t="str">
        <v>Unrestricted</v>
      </c>
      <c r="F70">
        <v>50</v>
      </c>
      <c r="G70" t="str">
        <v>S</v>
      </c>
      <c r="H70">
        <v>43.75</v>
      </c>
      <c r="I70">
        <v>1</v>
      </c>
      <c r="J70">
        <v>1</v>
      </c>
    </row>
    <row r="71" spans="1:10" x14ac:dyDescent="0.35">
      <c r="A71">
        <v>182</v>
      </c>
      <c r="B71" t="str">
        <v>Yes</v>
      </c>
      <c r="C71" t="str">
        <v>Yes</v>
      </c>
      <c r="D71" t="str">
        <v>Yes</v>
      </c>
      <c r="E71" t="str">
        <v>Restricted</v>
      </c>
      <c r="F71">
        <v>25</v>
      </c>
      <c r="G71" t="str">
        <v>MRMS</v>
      </c>
      <c r="H71">
        <v>12.5</v>
      </c>
      <c r="I71">
        <v>0</v>
      </c>
      <c r="J71">
        <v>1</v>
      </c>
    </row>
    <row r="72" spans="1:10" x14ac:dyDescent="0.35">
      <c r="A72">
        <v>489</v>
      </c>
      <c r="B72" t="str">
        <v>No</v>
      </c>
      <c r="C72" t="str">
        <v>Yes</v>
      </c>
      <c r="D72" t="str">
        <v>No</v>
      </c>
      <c r="E72" t="str">
        <v>No</v>
      </c>
      <c r="F72">
        <v>5</v>
      </c>
      <c r="G72" t="str">
        <v>r</v>
      </c>
      <c r="H72">
        <v>1.25</v>
      </c>
      <c r="I72">
        <v>0</v>
      </c>
      <c r="J72">
        <v>0</v>
      </c>
    </row>
    <row r="73" spans="1:10" x14ac:dyDescent="0.35">
      <c r="A73">
        <v>588</v>
      </c>
      <c r="B73" t="str">
        <v>No</v>
      </c>
      <c r="C73" t="str">
        <v>No</v>
      </c>
      <c r="D73" t="str">
        <v>No</v>
      </c>
      <c r="E73" t="str">
        <v>No</v>
      </c>
      <c r="F73">
        <v>0</v>
      </c>
      <c r="G73" t="str">
        <v>HR</v>
      </c>
      <c r="H73">
        <v>0</v>
      </c>
      <c r="I73">
        <v>0</v>
      </c>
      <c r="J73">
        <v>0</v>
      </c>
    </row>
    <row r="74" spans="1:10" x14ac:dyDescent="0.35">
      <c r="A74">
        <v>732</v>
      </c>
      <c r="B74" t="str">
        <v>No</v>
      </c>
      <c r="C74" t="str">
        <v>No</v>
      </c>
      <c r="D74" t="str">
        <v>No</v>
      </c>
      <c r="E74" t="str">
        <v>Mix</v>
      </c>
      <c r="F74">
        <v>40</v>
      </c>
      <c r="G74" t="str">
        <v>HS</v>
      </c>
      <c r="H74">
        <v>40</v>
      </c>
      <c r="I74">
        <v>1</v>
      </c>
      <c r="J74">
        <v>1</v>
      </c>
    </row>
    <row r="75" spans="1:10" x14ac:dyDescent="0.35">
      <c r="A75">
        <v>639</v>
      </c>
      <c r="B75" t="str">
        <v>No</v>
      </c>
      <c r="C75" t="str">
        <v>Yes</v>
      </c>
      <c r="D75" t="str">
        <v>No</v>
      </c>
      <c r="E75" t="str">
        <v>Mix</v>
      </c>
      <c r="F75">
        <v>55</v>
      </c>
      <c r="G75" t="str">
        <v>MS</v>
      </c>
      <c r="H75">
        <v>41.25</v>
      </c>
      <c r="I75">
        <v>1</v>
      </c>
      <c r="J75">
        <v>1</v>
      </c>
    </row>
    <row r="76" spans="1:10" x14ac:dyDescent="0.35">
      <c r="A76">
        <v>620</v>
      </c>
      <c r="B76" t="str">
        <v>No</v>
      </c>
      <c r="C76" t="str">
        <v>Yes</v>
      </c>
      <c r="D76" t="str">
        <v>No</v>
      </c>
      <c r="E76" t="str">
        <v>Mix</v>
      </c>
      <c r="F76">
        <v>75</v>
      </c>
      <c r="G76" t="str">
        <v>MS</v>
      </c>
      <c r="H76">
        <v>56.25</v>
      </c>
      <c r="I76">
        <v>1</v>
      </c>
      <c r="J76">
        <v>1</v>
      </c>
    </row>
    <row r="77" spans="1:10" x14ac:dyDescent="0.35">
      <c r="A77">
        <v>205</v>
      </c>
      <c r="B77" t="str">
        <v>NA</v>
      </c>
      <c r="C77" t="str">
        <v>NA</v>
      </c>
      <c r="D77" t="str">
        <v>NA</v>
      </c>
      <c r="E77" t="str">
        <v>NA</v>
      </c>
      <c r="F77" t="str">
        <v>NA</v>
      </c>
      <c r="G77" t="str">
        <v>NA</v>
      </c>
      <c r="H77" t="e">
        <v>#N/A</v>
      </c>
      <c r="I77">
        <v>1</v>
      </c>
      <c r="J77">
        <v>1</v>
      </c>
    </row>
    <row r="78" spans="1:10" x14ac:dyDescent="0.35">
      <c r="A78">
        <v>260</v>
      </c>
      <c r="B78" t="str">
        <v>No</v>
      </c>
      <c r="C78" t="str">
        <v>Yes</v>
      </c>
      <c r="D78" t="str">
        <v>No</v>
      </c>
      <c r="E78" t="str">
        <v>No</v>
      </c>
      <c r="F78">
        <v>5</v>
      </c>
      <c r="G78" t="str">
        <v>R</v>
      </c>
      <c r="H78">
        <v>1.25</v>
      </c>
      <c r="I78">
        <v>0</v>
      </c>
      <c r="J78">
        <v>0</v>
      </c>
    </row>
    <row r="79" spans="1:10" x14ac:dyDescent="0.35">
      <c r="A79">
        <v>286</v>
      </c>
      <c r="B79" t="str">
        <v>Yes</v>
      </c>
      <c r="C79" t="str">
        <v>Yes</v>
      </c>
      <c r="D79" t="str">
        <v>No</v>
      </c>
      <c r="E79" t="str">
        <v>Unrestricted</v>
      </c>
      <c r="F79">
        <v>90</v>
      </c>
      <c r="G79" t="str">
        <v>S</v>
      </c>
      <c r="H79">
        <v>78.75</v>
      </c>
      <c r="I79">
        <v>1</v>
      </c>
      <c r="J79">
        <v>1</v>
      </c>
    </row>
    <row r="80" spans="1:10" x14ac:dyDescent="0.35">
      <c r="A80">
        <v>539</v>
      </c>
      <c r="B80" t="str">
        <v>No</v>
      </c>
      <c r="C80" t="str">
        <v>No</v>
      </c>
      <c r="D80" t="str">
        <v>No</v>
      </c>
      <c r="E80" t="str">
        <v>No</v>
      </c>
      <c r="F80">
        <v>0</v>
      </c>
      <c r="G80" t="str">
        <v>HR</v>
      </c>
      <c r="H80">
        <v>0</v>
      </c>
      <c r="I80">
        <v>0</v>
      </c>
      <c r="J80">
        <v>0</v>
      </c>
    </row>
    <row r="81" spans="1:10" x14ac:dyDescent="0.35">
      <c r="A81">
        <v>559</v>
      </c>
      <c r="B81" t="str">
        <v>Yes</v>
      </c>
      <c r="C81" t="str">
        <v>No</v>
      </c>
      <c r="D81" t="str">
        <v>No</v>
      </c>
      <c r="E81" t="str">
        <v>No</v>
      </c>
      <c r="F81">
        <v>5</v>
      </c>
      <c r="G81" t="str">
        <v>R</v>
      </c>
      <c r="H81">
        <v>1.25</v>
      </c>
      <c r="I81">
        <v>0</v>
      </c>
      <c r="J81">
        <v>0</v>
      </c>
    </row>
    <row r="82" spans="1:10" x14ac:dyDescent="0.35">
      <c r="A82">
        <v>637</v>
      </c>
      <c r="B82" t="str">
        <v>Yes</v>
      </c>
      <c r="C82" t="str">
        <v>Yes</v>
      </c>
      <c r="D82" t="str">
        <v>No</v>
      </c>
      <c r="E82" t="str">
        <v>Restricted</v>
      </c>
      <c r="F82">
        <v>25</v>
      </c>
      <c r="G82" t="str">
        <v>MRMS</v>
      </c>
      <c r="H82">
        <v>12.5</v>
      </c>
      <c r="I82">
        <v>0</v>
      </c>
      <c r="J82">
        <v>1</v>
      </c>
    </row>
    <row r="83" spans="1:10" x14ac:dyDescent="0.35">
      <c r="A83">
        <v>655</v>
      </c>
      <c r="B83" t="str">
        <v>Yes</v>
      </c>
      <c r="C83" t="str">
        <v>Yes</v>
      </c>
      <c r="D83" t="str">
        <v>No</v>
      </c>
      <c r="E83" t="str">
        <v>Unrestricted</v>
      </c>
      <c r="F83">
        <v>25</v>
      </c>
      <c r="G83" t="str">
        <v>S</v>
      </c>
      <c r="H83">
        <v>21.875</v>
      </c>
      <c r="I83">
        <v>1</v>
      </c>
      <c r="J83">
        <v>1</v>
      </c>
    </row>
    <row r="84" spans="1:10" x14ac:dyDescent="0.35">
      <c r="A84">
        <v>406</v>
      </c>
      <c r="B84" t="str">
        <v>Yes</v>
      </c>
      <c r="C84" t="str">
        <v>Yes</v>
      </c>
      <c r="D84" t="str">
        <v>No</v>
      </c>
      <c r="E84" t="str">
        <v>Restricted</v>
      </c>
      <c r="F84">
        <v>75</v>
      </c>
      <c r="G84" t="str">
        <v>MRMS</v>
      </c>
      <c r="H84">
        <v>37.5</v>
      </c>
      <c r="I84">
        <v>0</v>
      </c>
      <c r="J84">
        <v>1</v>
      </c>
    </row>
    <row r="85" spans="1:10" x14ac:dyDescent="0.35">
      <c r="A85">
        <v>243</v>
      </c>
      <c r="B85" t="str">
        <v>Yes</v>
      </c>
      <c r="C85" t="str">
        <v>Yes</v>
      </c>
      <c r="D85" t="str">
        <v>No</v>
      </c>
      <c r="E85" t="str">
        <v>Mix</v>
      </c>
      <c r="F85">
        <v>40</v>
      </c>
      <c r="G85" t="str">
        <v>MS</v>
      </c>
      <c r="H85">
        <v>30</v>
      </c>
      <c r="I85">
        <v>1</v>
      </c>
      <c r="J85">
        <v>1</v>
      </c>
    </row>
    <row r="86" spans="1:10" x14ac:dyDescent="0.35">
      <c r="A86">
        <v>130</v>
      </c>
      <c r="B86" t="str">
        <v>No</v>
      </c>
      <c r="C86" t="str">
        <v>Yes</v>
      </c>
      <c r="D86" t="str">
        <v>No</v>
      </c>
      <c r="E86" t="str">
        <v>Unrestricted</v>
      </c>
      <c r="F86">
        <v>75</v>
      </c>
      <c r="G86" t="str">
        <v>S</v>
      </c>
      <c r="H86">
        <v>65.625</v>
      </c>
      <c r="I86">
        <v>1</v>
      </c>
      <c r="J86">
        <v>1</v>
      </c>
    </row>
    <row r="87" spans="1:10" x14ac:dyDescent="0.35">
      <c r="A87">
        <v>339</v>
      </c>
      <c r="B87" t="str">
        <v>No</v>
      </c>
      <c r="C87" t="str">
        <v>No</v>
      </c>
      <c r="D87" t="str">
        <v>No</v>
      </c>
      <c r="E87" t="str">
        <v>Unrestricted</v>
      </c>
      <c r="F87">
        <v>75</v>
      </c>
      <c r="G87" t="str">
        <v>HS</v>
      </c>
      <c r="H87">
        <v>75</v>
      </c>
      <c r="I87">
        <v>1</v>
      </c>
      <c r="J87">
        <v>1</v>
      </c>
    </row>
    <row r="88" spans="1:10" x14ac:dyDescent="0.35">
      <c r="A88">
        <v>640</v>
      </c>
      <c r="B88" t="str">
        <v>Yes</v>
      </c>
      <c r="C88" t="str">
        <v>No</v>
      </c>
      <c r="D88" t="str">
        <v>No</v>
      </c>
      <c r="E88" t="str">
        <v>No</v>
      </c>
      <c r="F88">
        <v>5</v>
      </c>
      <c r="G88" t="str">
        <v>R</v>
      </c>
      <c r="H88">
        <v>1.25</v>
      </c>
      <c r="I88">
        <v>0</v>
      </c>
      <c r="J88">
        <v>0</v>
      </c>
    </row>
    <row r="89" spans="1:10" x14ac:dyDescent="0.35">
      <c r="A89">
        <v>95</v>
      </c>
      <c r="B89" t="str">
        <v>No</v>
      </c>
      <c r="C89" t="str">
        <v>Yes</v>
      </c>
      <c r="D89" t="str">
        <v>No</v>
      </c>
      <c r="E89" t="str">
        <v>Restricted</v>
      </c>
      <c r="F89">
        <v>30</v>
      </c>
      <c r="G89" t="str">
        <v>MRMS</v>
      </c>
      <c r="H89">
        <v>15</v>
      </c>
      <c r="I89">
        <v>0</v>
      </c>
      <c r="J89">
        <v>1</v>
      </c>
    </row>
    <row r="90" spans="1:10" x14ac:dyDescent="0.35">
      <c r="A90">
        <v>391</v>
      </c>
      <c r="B90" t="str">
        <v>Yes</v>
      </c>
      <c r="C90" t="str">
        <v>Yes</v>
      </c>
      <c r="D90" t="str">
        <v>No</v>
      </c>
      <c r="E90" t="str">
        <v>Unrestricted</v>
      </c>
      <c r="F90">
        <v>50</v>
      </c>
      <c r="G90" t="str">
        <v>S</v>
      </c>
      <c r="H90">
        <v>43.75</v>
      </c>
      <c r="I90">
        <v>1</v>
      </c>
      <c r="J90">
        <v>1</v>
      </c>
    </row>
    <row r="91" spans="1:10" x14ac:dyDescent="0.35">
      <c r="A91">
        <v>168</v>
      </c>
      <c r="B91" t="str">
        <v>No</v>
      </c>
      <c r="C91" t="str">
        <v>No</v>
      </c>
      <c r="D91" t="str">
        <v>No</v>
      </c>
      <c r="E91" t="str">
        <v>No</v>
      </c>
      <c r="F91">
        <v>0</v>
      </c>
      <c r="G91" t="str">
        <v>HR</v>
      </c>
      <c r="H91">
        <v>0</v>
      </c>
      <c r="I91">
        <v>0</v>
      </c>
      <c r="J91">
        <v>0</v>
      </c>
    </row>
    <row r="92" spans="1:10" x14ac:dyDescent="0.35">
      <c r="A92">
        <v>501</v>
      </c>
      <c r="B92" t="str">
        <v>No</v>
      </c>
      <c r="C92" t="str">
        <v>No</v>
      </c>
      <c r="D92" t="str">
        <v>No</v>
      </c>
      <c r="E92" t="str">
        <v>No</v>
      </c>
      <c r="F92">
        <v>0</v>
      </c>
      <c r="G92" t="str">
        <v>HR</v>
      </c>
      <c r="H92">
        <v>0</v>
      </c>
      <c r="I92">
        <v>0</v>
      </c>
      <c r="J92">
        <v>0</v>
      </c>
    </row>
    <row r="93" spans="1:10" x14ac:dyDescent="0.35">
      <c r="A93">
        <v>487</v>
      </c>
      <c r="B93" t="str">
        <v>No</v>
      </c>
      <c r="C93" t="str">
        <v>No</v>
      </c>
      <c r="D93" t="str">
        <v>No</v>
      </c>
      <c r="E93" t="str">
        <v>No</v>
      </c>
      <c r="F93">
        <v>0</v>
      </c>
      <c r="G93" t="str">
        <v>HR</v>
      </c>
      <c r="H93">
        <v>0</v>
      </c>
      <c r="I93">
        <v>0</v>
      </c>
      <c r="J93">
        <v>0</v>
      </c>
    </row>
    <row r="94" spans="1:10" x14ac:dyDescent="0.35">
      <c r="A94">
        <v>688</v>
      </c>
      <c r="B94" t="str">
        <v>No</v>
      </c>
      <c r="C94" t="str">
        <v>No</v>
      </c>
      <c r="D94" t="str">
        <v>No</v>
      </c>
      <c r="E94" t="str">
        <v>No</v>
      </c>
      <c r="F94">
        <v>0</v>
      </c>
      <c r="G94" t="str">
        <v>HR</v>
      </c>
      <c r="H94">
        <v>0</v>
      </c>
      <c r="I94">
        <v>0</v>
      </c>
      <c r="J94">
        <v>0</v>
      </c>
    </row>
    <row r="95" spans="1:10" x14ac:dyDescent="0.35">
      <c r="A95">
        <v>582</v>
      </c>
      <c r="B95" t="str">
        <v>Yes</v>
      </c>
      <c r="C95" t="str">
        <v>No</v>
      </c>
      <c r="D95" t="str">
        <v>No</v>
      </c>
      <c r="E95" t="str">
        <v>No</v>
      </c>
      <c r="F95">
        <v>5</v>
      </c>
      <c r="G95" t="str">
        <v>R</v>
      </c>
      <c r="H95">
        <v>1.25</v>
      </c>
      <c r="I95">
        <v>0</v>
      </c>
      <c r="J95">
        <v>0</v>
      </c>
    </row>
    <row r="96" spans="1:10" x14ac:dyDescent="0.35">
      <c r="A96">
        <v>386</v>
      </c>
      <c r="B96" t="str">
        <v>No</v>
      </c>
      <c r="C96" t="str">
        <v>Yes</v>
      </c>
      <c r="D96" t="str">
        <v>No</v>
      </c>
      <c r="E96" t="str">
        <v>Mix</v>
      </c>
      <c r="F96">
        <v>50</v>
      </c>
      <c r="G96" t="str">
        <v>MS</v>
      </c>
      <c r="H96">
        <v>37.5</v>
      </c>
      <c r="I96">
        <v>1</v>
      </c>
      <c r="J96">
        <v>1</v>
      </c>
    </row>
    <row r="97" spans="1:10" x14ac:dyDescent="0.35">
      <c r="A97">
        <v>37</v>
      </c>
      <c r="B97" t="str">
        <v>No</v>
      </c>
      <c r="C97" t="str">
        <v>Yes</v>
      </c>
      <c r="D97" t="str">
        <v>Yes</v>
      </c>
      <c r="E97" t="str">
        <v>Unrestricted</v>
      </c>
      <c r="F97">
        <v>70</v>
      </c>
      <c r="G97" t="str">
        <v>s</v>
      </c>
      <c r="H97">
        <v>61.25</v>
      </c>
      <c r="I97">
        <v>1</v>
      </c>
      <c r="J97">
        <v>1</v>
      </c>
    </row>
    <row r="98" spans="1:10" x14ac:dyDescent="0.35">
      <c r="A98">
        <v>20</v>
      </c>
      <c r="B98" t="str">
        <v>Yes</v>
      </c>
      <c r="C98" t="str">
        <v>No</v>
      </c>
      <c r="D98" t="str">
        <v>No</v>
      </c>
      <c r="E98" t="str">
        <v>No</v>
      </c>
      <c r="F98">
        <v>5</v>
      </c>
      <c r="G98" t="str">
        <v>R</v>
      </c>
      <c r="H98">
        <v>1.25</v>
      </c>
      <c r="I98">
        <v>0</v>
      </c>
      <c r="J98">
        <v>0</v>
      </c>
    </row>
    <row r="99" spans="1:10" x14ac:dyDescent="0.35">
      <c r="A99">
        <v>210</v>
      </c>
      <c r="B99" t="str">
        <v>No</v>
      </c>
      <c r="C99" t="str">
        <v>Yes</v>
      </c>
      <c r="D99" t="str">
        <v>No</v>
      </c>
      <c r="E99" t="str">
        <v>Mix</v>
      </c>
      <c r="F99">
        <v>20</v>
      </c>
      <c r="G99" t="str">
        <v>MS</v>
      </c>
      <c r="H99">
        <v>15</v>
      </c>
      <c r="I99">
        <v>1</v>
      </c>
      <c r="J99">
        <v>1</v>
      </c>
    </row>
    <row r="100" spans="1:10" x14ac:dyDescent="0.35">
      <c r="A100">
        <v>581</v>
      </c>
      <c r="B100" t="str">
        <v>No</v>
      </c>
      <c r="C100" t="str">
        <v>No</v>
      </c>
      <c r="D100" t="str">
        <v>No</v>
      </c>
      <c r="E100" t="str">
        <v>No</v>
      </c>
      <c r="F100">
        <v>0</v>
      </c>
      <c r="G100" t="str">
        <v>HR</v>
      </c>
      <c r="H100">
        <v>0</v>
      </c>
      <c r="I100">
        <v>0</v>
      </c>
      <c r="J100">
        <v>0</v>
      </c>
    </row>
    <row r="101" spans="1:10" x14ac:dyDescent="0.35">
      <c r="A101">
        <v>389</v>
      </c>
      <c r="B101" t="str">
        <v>No</v>
      </c>
      <c r="C101" t="str">
        <v>Yes</v>
      </c>
      <c r="D101" t="str">
        <v>No</v>
      </c>
      <c r="E101" t="str">
        <v>Restricted</v>
      </c>
      <c r="F101">
        <v>10</v>
      </c>
      <c r="G101" t="str">
        <v>MRMS</v>
      </c>
      <c r="H101">
        <v>5</v>
      </c>
      <c r="I101">
        <v>0</v>
      </c>
      <c r="J101">
        <v>1</v>
      </c>
    </row>
    <row r="102" spans="1:10" x14ac:dyDescent="0.35">
      <c r="A102">
        <v>294</v>
      </c>
      <c r="B102" t="str">
        <v>NA</v>
      </c>
      <c r="C102" t="str">
        <v>NA</v>
      </c>
      <c r="D102" t="str">
        <v>NA</v>
      </c>
      <c r="E102" t="str">
        <v>NA</v>
      </c>
      <c r="F102" t="str">
        <v>NA</v>
      </c>
      <c r="G102" t="str">
        <v>NA</v>
      </c>
      <c r="H102" t="e">
        <v>#N/A</v>
      </c>
      <c r="I102">
        <v>1</v>
      </c>
      <c r="J102">
        <v>1</v>
      </c>
    </row>
    <row r="103" spans="1:10" x14ac:dyDescent="0.35">
      <c r="A103">
        <v>691</v>
      </c>
      <c r="B103" t="str">
        <v>Yes</v>
      </c>
      <c r="C103" t="str">
        <v>No</v>
      </c>
      <c r="D103" t="str">
        <v>No</v>
      </c>
      <c r="E103" t="str">
        <v>No</v>
      </c>
      <c r="F103">
        <v>5</v>
      </c>
      <c r="G103" t="str">
        <v>R</v>
      </c>
      <c r="H103">
        <v>1.25</v>
      </c>
      <c r="I103">
        <v>0</v>
      </c>
      <c r="J103">
        <v>0</v>
      </c>
    </row>
    <row r="104" spans="1:10" x14ac:dyDescent="0.35">
      <c r="A104">
        <v>616</v>
      </c>
      <c r="B104" t="str">
        <v>Yes</v>
      </c>
      <c r="C104" t="str">
        <v>No</v>
      </c>
      <c r="D104" t="str">
        <v>No</v>
      </c>
      <c r="E104" t="str">
        <v>No</v>
      </c>
      <c r="F104">
        <v>5</v>
      </c>
      <c r="G104" t="str">
        <v>R</v>
      </c>
      <c r="H104">
        <v>1.25</v>
      </c>
      <c r="I104">
        <v>0</v>
      </c>
      <c r="J104">
        <v>0</v>
      </c>
    </row>
    <row r="105" spans="1:10" x14ac:dyDescent="0.35">
      <c r="A105">
        <v>55</v>
      </c>
      <c r="B105" t="str">
        <v>No</v>
      </c>
      <c r="C105" t="str">
        <v>Yes</v>
      </c>
      <c r="D105" t="str">
        <v>No</v>
      </c>
      <c r="E105" t="str">
        <v>No</v>
      </c>
      <c r="F105">
        <v>5</v>
      </c>
      <c r="G105" t="str">
        <v>R</v>
      </c>
      <c r="H105">
        <v>1.25</v>
      </c>
      <c r="I105">
        <v>0</v>
      </c>
      <c r="J105">
        <v>0</v>
      </c>
    </row>
    <row r="106" spans="1:10" x14ac:dyDescent="0.35">
      <c r="A106">
        <v>242</v>
      </c>
      <c r="B106" t="str">
        <v>No</v>
      </c>
      <c r="C106" t="str">
        <v>No</v>
      </c>
      <c r="D106" t="str">
        <v>No</v>
      </c>
      <c r="E106" t="str">
        <v>No</v>
      </c>
      <c r="F106">
        <v>0</v>
      </c>
      <c r="G106" t="str">
        <v>hr</v>
      </c>
      <c r="H106">
        <v>0</v>
      </c>
      <c r="I106">
        <v>0</v>
      </c>
      <c r="J106">
        <v>0</v>
      </c>
    </row>
    <row r="107" spans="1:10" x14ac:dyDescent="0.35">
      <c r="A107">
        <v>332</v>
      </c>
      <c r="B107" t="str">
        <v>No</v>
      </c>
      <c r="C107" t="str">
        <v>No</v>
      </c>
      <c r="D107" t="str">
        <v>No</v>
      </c>
      <c r="E107" t="str">
        <v>Mix</v>
      </c>
      <c r="F107">
        <v>20</v>
      </c>
      <c r="G107" t="str">
        <v>S</v>
      </c>
      <c r="H107">
        <v>17.5</v>
      </c>
      <c r="I107">
        <v>1</v>
      </c>
      <c r="J107">
        <v>1</v>
      </c>
    </row>
    <row r="108" spans="1:10" x14ac:dyDescent="0.35">
      <c r="A108">
        <v>297</v>
      </c>
      <c r="B108" t="str">
        <v>No</v>
      </c>
      <c r="C108" t="str">
        <v>No</v>
      </c>
      <c r="D108" t="str">
        <v>No</v>
      </c>
      <c r="E108" t="str">
        <v>No</v>
      </c>
      <c r="F108">
        <v>0</v>
      </c>
      <c r="G108" t="str">
        <v>hr</v>
      </c>
      <c r="H108">
        <v>0</v>
      </c>
      <c r="I108">
        <v>0</v>
      </c>
      <c r="J108">
        <v>0</v>
      </c>
    </row>
    <row r="109" spans="1:10" x14ac:dyDescent="0.35">
      <c r="A109">
        <v>295</v>
      </c>
      <c r="B109" t="str">
        <v>NA</v>
      </c>
      <c r="C109" t="str">
        <v>NA</v>
      </c>
      <c r="D109" t="str">
        <v>NA</v>
      </c>
      <c r="E109" t="str">
        <v>NA</v>
      </c>
      <c r="F109" t="str">
        <v>NA</v>
      </c>
      <c r="G109" t="str">
        <v>NA</v>
      </c>
      <c r="H109" t="e">
        <v>#N/A</v>
      </c>
      <c r="I109">
        <v>1</v>
      </c>
      <c r="J109">
        <v>1</v>
      </c>
    </row>
    <row r="110" spans="1:10" x14ac:dyDescent="0.35">
      <c r="A110">
        <v>56</v>
      </c>
      <c r="B110" t="str">
        <v>Yes</v>
      </c>
      <c r="C110" t="str">
        <v>Yes</v>
      </c>
      <c r="D110" t="str">
        <v>No</v>
      </c>
      <c r="E110" t="str">
        <v>Unrestricted</v>
      </c>
      <c r="F110">
        <v>45</v>
      </c>
      <c r="G110" t="str">
        <v>S</v>
      </c>
      <c r="H110">
        <v>39.375</v>
      </c>
      <c r="I110">
        <v>1</v>
      </c>
      <c r="J110">
        <v>1</v>
      </c>
    </row>
    <row r="111" spans="1:10" x14ac:dyDescent="0.35">
      <c r="A111">
        <v>190</v>
      </c>
      <c r="B111" t="str">
        <v>No</v>
      </c>
      <c r="C111" t="str">
        <v>Yes</v>
      </c>
      <c r="D111" t="str">
        <v>Yes</v>
      </c>
      <c r="E111" t="str">
        <v>Unrestricted</v>
      </c>
      <c r="F111">
        <v>90</v>
      </c>
      <c r="G111" t="str">
        <v>S</v>
      </c>
      <c r="H111">
        <v>78.75</v>
      </c>
      <c r="I111">
        <v>1</v>
      </c>
      <c r="J111">
        <v>1</v>
      </c>
    </row>
    <row r="112" spans="1:10" x14ac:dyDescent="0.35">
      <c r="A112">
        <v>183</v>
      </c>
      <c r="B112" t="str">
        <v>No</v>
      </c>
      <c r="C112" t="str">
        <v>No</v>
      </c>
      <c r="D112" t="str">
        <v>No</v>
      </c>
      <c r="E112" t="str">
        <v>No</v>
      </c>
      <c r="F112">
        <v>0</v>
      </c>
      <c r="G112" t="str">
        <v>hr</v>
      </c>
      <c r="H112">
        <v>0</v>
      </c>
      <c r="I112">
        <v>0</v>
      </c>
      <c r="J112">
        <v>0</v>
      </c>
    </row>
    <row r="113" spans="1:10" x14ac:dyDescent="0.35">
      <c r="A113">
        <v>410</v>
      </c>
      <c r="B113" t="str">
        <v>No</v>
      </c>
      <c r="C113" t="str">
        <v>No</v>
      </c>
      <c r="D113" t="str">
        <v>No</v>
      </c>
      <c r="E113" t="str">
        <v>No</v>
      </c>
      <c r="F113">
        <v>0</v>
      </c>
      <c r="G113" t="str">
        <v>hr</v>
      </c>
      <c r="H113">
        <v>0</v>
      </c>
      <c r="I113">
        <v>0</v>
      </c>
      <c r="J113">
        <v>0</v>
      </c>
    </row>
    <row r="114" spans="1:10" x14ac:dyDescent="0.35">
      <c r="A114">
        <v>67</v>
      </c>
      <c r="B114" t="str">
        <v>No</v>
      </c>
      <c r="C114" t="str">
        <v>No</v>
      </c>
      <c r="D114" t="str">
        <v>No</v>
      </c>
      <c r="E114" t="str">
        <v>No</v>
      </c>
      <c r="F114">
        <v>0</v>
      </c>
      <c r="G114" t="str">
        <v>hr</v>
      </c>
      <c r="H114">
        <v>0</v>
      </c>
      <c r="I114">
        <v>0</v>
      </c>
      <c r="J114">
        <v>0</v>
      </c>
    </row>
    <row r="115" spans="1:10" x14ac:dyDescent="0.35">
      <c r="A115">
        <v>592</v>
      </c>
      <c r="B115" t="str">
        <v>No</v>
      </c>
      <c r="C115" t="str">
        <v>No</v>
      </c>
      <c r="D115" t="str">
        <v>No</v>
      </c>
      <c r="E115" t="str">
        <v>No</v>
      </c>
      <c r="F115">
        <v>0</v>
      </c>
      <c r="G115" t="str">
        <v>hr</v>
      </c>
      <c r="H115">
        <v>0</v>
      </c>
      <c r="I115">
        <v>0</v>
      </c>
      <c r="J115">
        <v>0</v>
      </c>
    </row>
    <row r="116" spans="1:10" x14ac:dyDescent="0.35">
      <c r="A116">
        <v>512</v>
      </c>
      <c r="B116" t="str">
        <v>NA</v>
      </c>
      <c r="C116" t="str">
        <v>NA</v>
      </c>
      <c r="D116" t="str">
        <v>NA</v>
      </c>
      <c r="E116" t="str">
        <v>NA</v>
      </c>
      <c r="F116" t="str">
        <v>NA</v>
      </c>
      <c r="G116" t="str">
        <v>NA</v>
      </c>
      <c r="H116" t="e">
        <v>#N/A</v>
      </c>
      <c r="I116">
        <v>1</v>
      </c>
      <c r="J116">
        <v>1</v>
      </c>
    </row>
    <row r="117" spans="1:10" x14ac:dyDescent="0.35">
      <c r="A117">
        <v>65</v>
      </c>
      <c r="B117" t="str">
        <v>Yes</v>
      </c>
      <c r="C117" t="str">
        <v>No</v>
      </c>
      <c r="D117" t="str">
        <v>No</v>
      </c>
      <c r="E117" t="str">
        <v>No</v>
      </c>
      <c r="F117">
        <v>5</v>
      </c>
      <c r="G117" t="str">
        <v>R</v>
      </c>
      <c r="H117">
        <v>1.25</v>
      </c>
      <c r="I117">
        <v>0</v>
      </c>
      <c r="J117">
        <v>0</v>
      </c>
    </row>
    <row r="118" spans="1:10" x14ac:dyDescent="0.35">
      <c r="A118">
        <v>706</v>
      </c>
      <c r="B118" t="str">
        <v>No</v>
      </c>
      <c r="C118" t="str">
        <v>No</v>
      </c>
      <c r="D118" t="str">
        <v>No</v>
      </c>
      <c r="E118" t="str">
        <v>No</v>
      </c>
      <c r="F118">
        <v>0</v>
      </c>
      <c r="G118" t="str">
        <v>hr</v>
      </c>
      <c r="H118">
        <v>0</v>
      </c>
      <c r="I118">
        <v>0</v>
      </c>
      <c r="J118">
        <v>0</v>
      </c>
    </row>
    <row r="119" spans="1:10" x14ac:dyDescent="0.35">
      <c r="A119">
        <v>148</v>
      </c>
      <c r="B119" t="str">
        <v>No</v>
      </c>
      <c r="C119" t="str">
        <v>No</v>
      </c>
      <c r="D119" t="str">
        <v>No</v>
      </c>
      <c r="E119" t="str">
        <v>No</v>
      </c>
      <c r="F119">
        <v>0</v>
      </c>
      <c r="G119" t="str">
        <v>hr</v>
      </c>
      <c r="H119">
        <v>0</v>
      </c>
      <c r="I119">
        <v>0</v>
      </c>
      <c r="J119">
        <v>0</v>
      </c>
    </row>
    <row r="120" spans="1:10" x14ac:dyDescent="0.35">
      <c r="A120">
        <v>638</v>
      </c>
      <c r="B120" t="str">
        <v>No</v>
      </c>
      <c r="C120" t="str">
        <v>Yes</v>
      </c>
      <c r="D120" t="str">
        <v>No</v>
      </c>
      <c r="E120" t="str">
        <v>Mix</v>
      </c>
      <c r="F120">
        <v>60</v>
      </c>
      <c r="G120" t="str">
        <v>MS</v>
      </c>
      <c r="H120">
        <v>45</v>
      </c>
      <c r="I120">
        <v>1</v>
      </c>
      <c r="J120">
        <v>1</v>
      </c>
    </row>
    <row r="121" spans="1:10" x14ac:dyDescent="0.35">
      <c r="A121">
        <v>219</v>
      </c>
      <c r="B121" t="str">
        <v>NA</v>
      </c>
      <c r="C121" t="str">
        <v>NA</v>
      </c>
      <c r="D121" t="str">
        <v>NA</v>
      </c>
      <c r="E121" t="str">
        <v>NA</v>
      </c>
      <c r="F121" t="str">
        <v>NA</v>
      </c>
      <c r="G121" t="str">
        <v>NA</v>
      </c>
      <c r="H121" t="e">
        <v>#N/A</v>
      </c>
      <c r="I121">
        <v>1</v>
      </c>
      <c r="J121">
        <v>1</v>
      </c>
    </row>
    <row r="122" spans="1:10" x14ac:dyDescent="0.35">
      <c r="A122">
        <v>464</v>
      </c>
      <c r="B122" t="str">
        <v>NA</v>
      </c>
      <c r="C122" t="str">
        <v>NA</v>
      </c>
      <c r="D122" t="str">
        <v>NA</v>
      </c>
      <c r="E122" t="str">
        <v>NA</v>
      </c>
      <c r="F122" t="str">
        <v>NA</v>
      </c>
      <c r="G122" t="str">
        <v>NA</v>
      </c>
      <c r="H122" t="e">
        <v>#N/A</v>
      </c>
      <c r="I122">
        <v>1</v>
      </c>
      <c r="J122">
        <v>1</v>
      </c>
    </row>
    <row r="123" spans="1:10" x14ac:dyDescent="0.35">
      <c r="A123">
        <v>617</v>
      </c>
      <c r="B123" t="str">
        <v>No</v>
      </c>
      <c r="C123" t="str">
        <v>No</v>
      </c>
      <c r="D123" t="str">
        <v>No</v>
      </c>
      <c r="E123" t="str">
        <v>Mix</v>
      </c>
      <c r="F123">
        <v>80</v>
      </c>
      <c r="G123" t="str">
        <v>S</v>
      </c>
      <c r="H123">
        <v>70</v>
      </c>
      <c r="I123">
        <v>1</v>
      </c>
      <c r="J123">
        <v>1</v>
      </c>
    </row>
    <row r="124" spans="1:10" x14ac:dyDescent="0.35">
      <c r="A124">
        <v>589</v>
      </c>
      <c r="B124" t="str">
        <v>No</v>
      </c>
      <c r="C124" t="str">
        <v>No</v>
      </c>
      <c r="D124" t="str">
        <v>No</v>
      </c>
      <c r="E124" t="str">
        <v>No</v>
      </c>
      <c r="F124">
        <v>0</v>
      </c>
      <c r="G124" t="str">
        <v>hr</v>
      </c>
      <c r="H124">
        <v>0</v>
      </c>
      <c r="I124">
        <v>0</v>
      </c>
      <c r="J124">
        <v>0</v>
      </c>
    </row>
    <row r="125" spans="1:10" x14ac:dyDescent="0.35">
      <c r="A125">
        <v>505</v>
      </c>
      <c r="B125" t="str">
        <v>No</v>
      </c>
      <c r="C125" t="str">
        <v>No</v>
      </c>
      <c r="D125" t="str">
        <v>No</v>
      </c>
      <c r="E125" t="str">
        <v>No</v>
      </c>
      <c r="F125">
        <v>0</v>
      </c>
      <c r="G125" t="str">
        <v>hr</v>
      </c>
      <c r="H125">
        <v>0</v>
      </c>
      <c r="I125">
        <v>0</v>
      </c>
      <c r="J125">
        <v>0</v>
      </c>
    </row>
    <row r="126" spans="1:10" x14ac:dyDescent="0.35">
      <c r="A126">
        <v>738</v>
      </c>
      <c r="B126" t="str">
        <v>No</v>
      </c>
      <c r="C126" t="str">
        <v>No</v>
      </c>
      <c r="D126" t="str">
        <v>No</v>
      </c>
      <c r="E126" t="str">
        <v>No</v>
      </c>
      <c r="F126">
        <v>0</v>
      </c>
      <c r="G126" t="str">
        <v>hr</v>
      </c>
      <c r="H126">
        <v>0</v>
      </c>
      <c r="I126">
        <v>0</v>
      </c>
      <c r="J126">
        <v>0</v>
      </c>
    </row>
    <row r="127" spans="1:10" x14ac:dyDescent="0.35">
      <c r="A127">
        <v>223</v>
      </c>
      <c r="B127" t="str">
        <v>NA</v>
      </c>
      <c r="C127" t="str">
        <v>NA</v>
      </c>
      <c r="D127" t="str">
        <v>NA</v>
      </c>
      <c r="E127" t="str">
        <v>NA</v>
      </c>
      <c r="F127" t="str">
        <v>NA</v>
      </c>
      <c r="G127" t="str">
        <v>NA</v>
      </c>
      <c r="H127" t="e">
        <v>#N/A</v>
      </c>
      <c r="I127">
        <v>1</v>
      </c>
      <c r="J127">
        <v>1</v>
      </c>
    </row>
    <row r="128" spans="1:10" x14ac:dyDescent="0.35">
      <c r="A128">
        <v>482</v>
      </c>
      <c r="B128" t="str">
        <v>No</v>
      </c>
      <c r="C128" t="str">
        <v>No</v>
      </c>
      <c r="D128" t="str">
        <v>No</v>
      </c>
      <c r="E128" t="str">
        <v>No</v>
      </c>
      <c r="F128">
        <v>0</v>
      </c>
      <c r="G128" t="str">
        <v>hr</v>
      </c>
      <c r="H128">
        <v>0</v>
      </c>
      <c r="I128">
        <v>0</v>
      </c>
      <c r="J128">
        <v>0</v>
      </c>
    </row>
    <row r="129" spans="1:10" x14ac:dyDescent="0.35">
      <c r="A129">
        <v>360</v>
      </c>
      <c r="B129" t="str">
        <v>NA</v>
      </c>
      <c r="C129" t="str">
        <v>NA</v>
      </c>
      <c r="D129" t="str">
        <v>NA</v>
      </c>
      <c r="E129" t="str">
        <v>NA</v>
      </c>
      <c r="F129" t="str">
        <v>NA</v>
      </c>
      <c r="G129" t="str">
        <v>NA</v>
      </c>
      <c r="H129" t="e">
        <v>#N/A</v>
      </c>
      <c r="I129">
        <v>1</v>
      </c>
      <c r="J129">
        <v>1</v>
      </c>
    </row>
    <row r="130" spans="1:10" x14ac:dyDescent="0.35">
      <c r="A130">
        <v>74</v>
      </c>
      <c r="B130" t="str">
        <v>No</v>
      </c>
      <c r="C130" t="str">
        <v>No</v>
      </c>
      <c r="D130" t="str">
        <v>No</v>
      </c>
      <c r="E130" t="str">
        <v>No</v>
      </c>
      <c r="F130">
        <v>50</v>
      </c>
      <c r="G130" t="str">
        <v>HS</v>
      </c>
      <c r="H130">
        <v>50</v>
      </c>
      <c r="I130">
        <v>1</v>
      </c>
      <c r="J130">
        <v>1</v>
      </c>
    </row>
    <row r="131" spans="1:10" x14ac:dyDescent="0.35">
      <c r="A131">
        <v>483</v>
      </c>
      <c r="B131" t="str">
        <v>No</v>
      </c>
      <c r="C131" t="str">
        <v>Yes</v>
      </c>
      <c r="D131" t="str">
        <v>No</v>
      </c>
      <c r="E131" t="str">
        <v>No</v>
      </c>
      <c r="F131">
        <v>5</v>
      </c>
      <c r="G131" t="str">
        <v>R</v>
      </c>
      <c r="H131">
        <v>1.25</v>
      </c>
      <c r="I131">
        <v>0</v>
      </c>
      <c r="J131">
        <v>0</v>
      </c>
    </row>
    <row r="132" spans="1:10" x14ac:dyDescent="0.35">
      <c r="A132">
        <v>66</v>
      </c>
      <c r="B132" t="str">
        <v>No</v>
      </c>
      <c r="C132" t="str">
        <v>No</v>
      </c>
      <c r="D132" t="str">
        <v>No</v>
      </c>
      <c r="E132" t="str">
        <v>No</v>
      </c>
      <c r="F132">
        <v>0</v>
      </c>
      <c r="G132" t="str">
        <v>hr</v>
      </c>
      <c r="H132">
        <v>0</v>
      </c>
      <c r="I132">
        <v>0</v>
      </c>
      <c r="J132">
        <v>0</v>
      </c>
    </row>
    <row r="133" spans="1:10" x14ac:dyDescent="0.35">
      <c r="A133">
        <v>90</v>
      </c>
      <c r="B133" t="str">
        <v>Yes</v>
      </c>
      <c r="C133" t="str">
        <v>Yes</v>
      </c>
      <c r="D133" t="str">
        <v>No</v>
      </c>
      <c r="E133" t="str">
        <v>No</v>
      </c>
      <c r="F133">
        <v>5</v>
      </c>
      <c r="G133" t="str">
        <v>R</v>
      </c>
      <c r="H133">
        <v>1.25</v>
      </c>
      <c r="I133">
        <v>0</v>
      </c>
      <c r="J133">
        <v>0</v>
      </c>
    </row>
    <row r="134" spans="1:10" x14ac:dyDescent="0.35">
      <c r="A134">
        <v>447</v>
      </c>
      <c r="B134" t="str">
        <v>No</v>
      </c>
      <c r="C134" t="str">
        <v>Yes</v>
      </c>
      <c r="D134" t="str">
        <v>No</v>
      </c>
      <c r="E134" t="str">
        <v>Unrestricted</v>
      </c>
      <c r="F134">
        <v>25</v>
      </c>
      <c r="G134" t="str">
        <v>s</v>
      </c>
      <c r="H134">
        <v>21.875</v>
      </c>
      <c r="I134">
        <v>1</v>
      </c>
      <c r="J134">
        <v>1</v>
      </c>
    </row>
    <row r="135" spans="1:10" x14ac:dyDescent="0.35">
      <c r="A135">
        <v>745</v>
      </c>
      <c r="B135" t="str">
        <v>NA</v>
      </c>
      <c r="C135" t="str">
        <v>NA</v>
      </c>
      <c r="D135" t="str">
        <v>NA</v>
      </c>
      <c r="E135" t="str">
        <v>NA</v>
      </c>
      <c r="F135" t="str">
        <v>NA</v>
      </c>
      <c r="G135" t="str">
        <v>NA</v>
      </c>
      <c r="H135" t="e">
        <v>#N/A</v>
      </c>
      <c r="I135">
        <v>1</v>
      </c>
      <c r="J135">
        <v>1</v>
      </c>
    </row>
    <row r="136" spans="1:10" x14ac:dyDescent="0.35">
      <c r="A136">
        <v>674</v>
      </c>
      <c r="B136" t="str">
        <v>Yes</v>
      </c>
      <c r="C136" t="str">
        <v>No</v>
      </c>
      <c r="D136" t="str">
        <v>No</v>
      </c>
      <c r="E136" t="str">
        <v>No</v>
      </c>
      <c r="F136">
        <v>5</v>
      </c>
      <c r="G136" t="str">
        <v>R</v>
      </c>
      <c r="H136">
        <v>1.25</v>
      </c>
      <c r="I136">
        <v>0</v>
      </c>
      <c r="J136">
        <v>0</v>
      </c>
    </row>
    <row r="137" spans="1:10" x14ac:dyDescent="0.35">
      <c r="A137">
        <v>375</v>
      </c>
      <c r="B137" t="str">
        <v>NA</v>
      </c>
      <c r="C137" t="str">
        <v>NA</v>
      </c>
      <c r="D137" t="str">
        <v>NA</v>
      </c>
      <c r="E137" t="str">
        <v>NA</v>
      </c>
      <c r="F137" t="str">
        <v>NA</v>
      </c>
      <c r="G137" t="str">
        <v>NA</v>
      </c>
      <c r="H137" t="e">
        <v>#N/A</v>
      </c>
      <c r="I137">
        <v>1</v>
      </c>
      <c r="J137">
        <v>1</v>
      </c>
    </row>
    <row r="138" spans="1:10" x14ac:dyDescent="0.35">
      <c r="A138">
        <v>749</v>
      </c>
      <c r="B138" t="str">
        <v>No</v>
      </c>
      <c r="C138" t="str">
        <v>No</v>
      </c>
      <c r="D138" t="str">
        <v>No</v>
      </c>
      <c r="E138" t="str">
        <v>No</v>
      </c>
      <c r="F138">
        <v>0</v>
      </c>
      <c r="G138" t="str">
        <v>hr</v>
      </c>
      <c r="H138">
        <v>0</v>
      </c>
      <c r="I138">
        <v>0</v>
      </c>
      <c r="J138">
        <v>0</v>
      </c>
    </row>
    <row r="139" spans="1:10" x14ac:dyDescent="0.35">
      <c r="A139">
        <v>671</v>
      </c>
      <c r="B139" t="str">
        <v>No</v>
      </c>
      <c r="C139" t="str">
        <v>Yes</v>
      </c>
      <c r="D139" t="str">
        <v>No</v>
      </c>
      <c r="E139" t="str">
        <v>Unrestricted</v>
      </c>
      <c r="F139">
        <v>20</v>
      </c>
      <c r="G139" t="str">
        <v>S</v>
      </c>
      <c r="H139">
        <v>17.5</v>
      </c>
      <c r="I139">
        <v>1</v>
      </c>
      <c r="J139">
        <v>1</v>
      </c>
    </row>
    <row r="140" spans="1:10" x14ac:dyDescent="0.35">
      <c r="A140">
        <v>742</v>
      </c>
      <c r="B140" t="str">
        <v>NA</v>
      </c>
      <c r="C140" t="str">
        <v>NA</v>
      </c>
      <c r="D140" t="str">
        <v>NA</v>
      </c>
      <c r="E140" t="str">
        <v>NA</v>
      </c>
      <c r="F140" t="str">
        <v>NA</v>
      </c>
      <c r="G140" t="str">
        <v>NA</v>
      </c>
      <c r="H140" t="e">
        <v>#N/A</v>
      </c>
      <c r="I140">
        <v>1</v>
      </c>
      <c r="J140">
        <v>1</v>
      </c>
    </row>
    <row r="141" spans="1:10" x14ac:dyDescent="0.35">
      <c r="A141">
        <v>663</v>
      </c>
      <c r="B141" t="str">
        <v>NA</v>
      </c>
      <c r="C141" t="str">
        <v>NA</v>
      </c>
      <c r="D141" t="str">
        <v>NA</v>
      </c>
      <c r="E141" t="str">
        <v>NA</v>
      </c>
      <c r="F141" t="str">
        <v>NA</v>
      </c>
      <c r="G141" t="str">
        <v>NA</v>
      </c>
      <c r="H141" t="e">
        <v>#N/A</v>
      </c>
      <c r="I141">
        <v>1</v>
      </c>
      <c r="J141">
        <v>1</v>
      </c>
    </row>
    <row r="142" spans="1:10" x14ac:dyDescent="0.35">
      <c r="A142">
        <v>522</v>
      </c>
      <c r="B142" t="str">
        <v>No</v>
      </c>
      <c r="C142" t="str">
        <v>No</v>
      </c>
      <c r="D142" t="str">
        <v>No</v>
      </c>
      <c r="E142" t="str">
        <v>No</v>
      </c>
      <c r="F142">
        <v>0</v>
      </c>
      <c r="G142" t="str">
        <v>hr</v>
      </c>
      <c r="H142">
        <v>0</v>
      </c>
      <c r="I142">
        <v>0</v>
      </c>
      <c r="J142">
        <v>0</v>
      </c>
    </row>
    <row r="143" spans="1:10" x14ac:dyDescent="0.35">
      <c r="A143">
        <v>694</v>
      </c>
      <c r="B143" t="str">
        <v>No</v>
      </c>
      <c r="C143" t="str">
        <v>No</v>
      </c>
      <c r="D143" t="str">
        <v>No</v>
      </c>
      <c r="E143" t="str">
        <v>No</v>
      </c>
      <c r="F143">
        <v>0</v>
      </c>
      <c r="G143" t="str">
        <v>hr</v>
      </c>
      <c r="H143">
        <v>0</v>
      </c>
      <c r="I143">
        <v>0</v>
      </c>
      <c r="J143">
        <v>0</v>
      </c>
    </row>
    <row r="144" spans="1:10" x14ac:dyDescent="0.35">
      <c r="A144">
        <v>433</v>
      </c>
      <c r="B144" t="str">
        <v>No</v>
      </c>
      <c r="C144" t="str">
        <v>Yes</v>
      </c>
      <c r="D144" t="str">
        <v>No</v>
      </c>
      <c r="E144" t="str">
        <v>mix</v>
      </c>
      <c r="F144">
        <v>10</v>
      </c>
      <c r="G144" t="str">
        <v>s</v>
      </c>
      <c r="H144">
        <v>8.75</v>
      </c>
      <c r="I144">
        <v>1</v>
      </c>
      <c r="J144">
        <v>1</v>
      </c>
    </row>
    <row r="145" spans="1:10" x14ac:dyDescent="0.35">
      <c r="A145">
        <v>590</v>
      </c>
      <c r="B145" t="str">
        <v>Yes</v>
      </c>
      <c r="C145" t="str">
        <v>No</v>
      </c>
      <c r="D145" t="str">
        <v>No</v>
      </c>
      <c r="E145" t="str">
        <v>No</v>
      </c>
      <c r="F145">
        <v>5</v>
      </c>
      <c r="G145" t="str">
        <v>R</v>
      </c>
      <c r="H145">
        <v>1.25</v>
      </c>
      <c r="I145">
        <v>0</v>
      </c>
      <c r="J145">
        <v>0</v>
      </c>
    </row>
    <row r="146" spans="1:10" x14ac:dyDescent="0.35">
      <c r="A146">
        <v>316</v>
      </c>
      <c r="B146" t="str">
        <v>No</v>
      </c>
      <c r="C146" t="str">
        <v>Yes</v>
      </c>
      <c r="D146" t="str">
        <v>No</v>
      </c>
      <c r="E146" t="str">
        <v>Restricted</v>
      </c>
      <c r="F146">
        <v>30</v>
      </c>
      <c r="G146" t="str">
        <v>MRMS</v>
      </c>
      <c r="H146">
        <v>15</v>
      </c>
      <c r="I146">
        <v>0</v>
      </c>
      <c r="J146">
        <v>1</v>
      </c>
    </row>
    <row r="147" spans="1:10" x14ac:dyDescent="0.35">
      <c r="A147">
        <v>146</v>
      </c>
      <c r="B147" t="str">
        <v>No</v>
      </c>
      <c r="C147" t="str">
        <v>Yes</v>
      </c>
      <c r="D147" t="str">
        <v>No</v>
      </c>
      <c r="E147" t="str">
        <v>No</v>
      </c>
      <c r="F147">
        <v>5</v>
      </c>
      <c r="G147" t="str">
        <v>r</v>
      </c>
      <c r="H147">
        <v>1.25</v>
      </c>
      <c r="I147">
        <v>0</v>
      </c>
      <c r="J147">
        <v>0</v>
      </c>
    </row>
    <row r="148" spans="1:10" x14ac:dyDescent="0.35">
      <c r="A148">
        <v>211</v>
      </c>
      <c r="B148" t="str">
        <v>No</v>
      </c>
      <c r="C148" t="str">
        <v>Yes</v>
      </c>
      <c r="D148" t="str">
        <v>No</v>
      </c>
      <c r="E148" t="str">
        <v>No</v>
      </c>
      <c r="F148">
        <v>5</v>
      </c>
      <c r="G148" t="str">
        <v>r</v>
      </c>
      <c r="H148">
        <v>1.25</v>
      </c>
      <c r="I148">
        <v>0</v>
      </c>
      <c r="J148">
        <v>0</v>
      </c>
    </row>
    <row r="149" spans="1:10" x14ac:dyDescent="0.35">
      <c r="A149">
        <v>633</v>
      </c>
      <c r="B149" t="str">
        <v>No</v>
      </c>
      <c r="C149" t="str">
        <v>No</v>
      </c>
      <c r="D149" t="str">
        <v>No</v>
      </c>
      <c r="E149" t="str">
        <v>Unrestricted</v>
      </c>
      <c r="F149">
        <v>25</v>
      </c>
      <c r="G149" t="str">
        <v>HS</v>
      </c>
      <c r="H149">
        <v>25</v>
      </c>
      <c r="I149">
        <v>1</v>
      </c>
      <c r="J149">
        <v>1</v>
      </c>
    </row>
    <row r="150" spans="1:10" x14ac:dyDescent="0.35">
      <c r="A150">
        <v>435</v>
      </c>
      <c r="B150" t="str">
        <v>Yes</v>
      </c>
      <c r="C150" t="str">
        <v>Yes</v>
      </c>
      <c r="D150" t="str">
        <v>No</v>
      </c>
      <c r="E150" t="str">
        <v>Unrestricted</v>
      </c>
      <c r="F150">
        <v>35</v>
      </c>
      <c r="G150" t="str">
        <v>HS</v>
      </c>
      <c r="H150">
        <v>35</v>
      </c>
      <c r="I150">
        <v>1</v>
      </c>
      <c r="J150">
        <v>1</v>
      </c>
    </row>
    <row r="151" spans="1:10" x14ac:dyDescent="0.35">
      <c r="A151">
        <v>469</v>
      </c>
      <c r="B151" t="str">
        <v>No</v>
      </c>
      <c r="C151" t="str">
        <v>Yes</v>
      </c>
      <c r="D151" t="str">
        <v>No</v>
      </c>
      <c r="E151" t="str">
        <v>Restricted</v>
      </c>
      <c r="F151">
        <v>20</v>
      </c>
      <c r="G151" t="str">
        <v>MRMS</v>
      </c>
      <c r="H151">
        <v>10</v>
      </c>
      <c r="I151">
        <v>0</v>
      </c>
      <c r="J151">
        <v>1</v>
      </c>
    </row>
    <row r="152" spans="1:10" x14ac:dyDescent="0.35">
      <c r="A152">
        <v>170</v>
      </c>
      <c r="B152" t="str">
        <v>No</v>
      </c>
      <c r="C152" t="str">
        <v>Yes</v>
      </c>
      <c r="D152" t="str">
        <v>No</v>
      </c>
      <c r="E152" t="str">
        <v>Unrestricted</v>
      </c>
      <c r="F152">
        <v>20</v>
      </c>
      <c r="G152" t="str">
        <v>S</v>
      </c>
      <c r="H152">
        <v>17.5</v>
      </c>
      <c r="I152">
        <v>1</v>
      </c>
      <c r="J152">
        <v>1</v>
      </c>
    </row>
    <row r="153" spans="1:10" x14ac:dyDescent="0.35">
      <c r="A153">
        <v>337</v>
      </c>
      <c r="B153" t="str">
        <v>No</v>
      </c>
      <c r="C153" t="str">
        <v>No</v>
      </c>
      <c r="D153" t="str">
        <v>No</v>
      </c>
      <c r="E153" t="str">
        <v>No</v>
      </c>
      <c r="F153">
        <v>0</v>
      </c>
      <c r="G153" t="str">
        <v>hr</v>
      </c>
      <c r="H153">
        <v>0</v>
      </c>
      <c r="I153">
        <v>0</v>
      </c>
      <c r="J153">
        <v>0</v>
      </c>
    </row>
    <row r="154" spans="1:10" x14ac:dyDescent="0.35">
      <c r="A154">
        <v>354</v>
      </c>
      <c r="B154" t="str">
        <v>No</v>
      </c>
      <c r="C154" t="str">
        <v>Yes</v>
      </c>
      <c r="D154" t="str">
        <v>No</v>
      </c>
      <c r="E154" t="str">
        <v>Unrestricted</v>
      </c>
      <c r="F154">
        <v>40</v>
      </c>
      <c r="G154" t="str">
        <v>S</v>
      </c>
      <c r="H154">
        <v>35</v>
      </c>
      <c r="I154">
        <v>1</v>
      </c>
      <c r="J154">
        <v>1</v>
      </c>
    </row>
    <row r="155" spans="1:10" x14ac:dyDescent="0.35">
      <c r="A155">
        <v>579</v>
      </c>
      <c r="B155" t="str">
        <v>No</v>
      </c>
      <c r="C155" t="str">
        <v>No</v>
      </c>
      <c r="D155" t="str">
        <v>No</v>
      </c>
      <c r="E155" t="str">
        <v>No</v>
      </c>
      <c r="F155">
        <v>0</v>
      </c>
      <c r="G155" t="str">
        <v>hr</v>
      </c>
      <c r="H155">
        <v>0</v>
      </c>
      <c r="I155">
        <v>0</v>
      </c>
      <c r="J155">
        <v>0</v>
      </c>
    </row>
    <row r="156" spans="1:10" x14ac:dyDescent="0.35">
      <c r="A156">
        <v>613</v>
      </c>
      <c r="B156" t="str">
        <v>No</v>
      </c>
      <c r="C156" t="str">
        <v>Yes</v>
      </c>
      <c r="D156" t="str">
        <v>No</v>
      </c>
      <c r="E156" t="str">
        <v>Restricted</v>
      </c>
      <c r="F156">
        <v>15</v>
      </c>
      <c r="G156" t="str">
        <v>mrms</v>
      </c>
      <c r="H156">
        <v>7.5</v>
      </c>
      <c r="I156">
        <v>0</v>
      </c>
      <c r="J156">
        <v>1</v>
      </c>
    </row>
    <row r="157" spans="1:10" x14ac:dyDescent="0.35">
      <c r="A157">
        <v>504</v>
      </c>
      <c r="B157" t="str">
        <v>No</v>
      </c>
      <c r="C157" t="str">
        <v>No</v>
      </c>
      <c r="D157" t="str">
        <v>No</v>
      </c>
      <c r="E157" t="str">
        <v>Unrestricted</v>
      </c>
      <c r="F157">
        <v>10</v>
      </c>
      <c r="G157" t="str">
        <v>HS</v>
      </c>
      <c r="H157">
        <v>10</v>
      </c>
      <c r="I157">
        <v>1</v>
      </c>
      <c r="J157">
        <v>1</v>
      </c>
    </row>
    <row r="158" spans="1:10" x14ac:dyDescent="0.35">
      <c r="A158">
        <v>463</v>
      </c>
      <c r="B158" t="str">
        <v>No</v>
      </c>
      <c r="C158" t="str">
        <v>Yes</v>
      </c>
      <c r="D158" t="str">
        <v>No</v>
      </c>
      <c r="E158" t="str">
        <v>No</v>
      </c>
      <c r="F158">
        <v>25</v>
      </c>
      <c r="G158" t="str">
        <v>R</v>
      </c>
      <c r="H158">
        <v>6.25</v>
      </c>
      <c r="I158">
        <v>0</v>
      </c>
      <c r="J158">
        <v>0</v>
      </c>
    </row>
    <row r="159" spans="1:10" x14ac:dyDescent="0.35">
      <c r="A159">
        <v>468</v>
      </c>
      <c r="B159" t="str">
        <v>No</v>
      </c>
      <c r="C159" t="str">
        <v>No</v>
      </c>
      <c r="D159" t="str">
        <v>No</v>
      </c>
      <c r="E159" t="str">
        <v>No</v>
      </c>
      <c r="F159">
        <v>0</v>
      </c>
      <c r="G159" t="str">
        <v>hr</v>
      </c>
      <c r="H159">
        <v>0</v>
      </c>
      <c r="I159">
        <v>0</v>
      </c>
      <c r="J159">
        <v>0</v>
      </c>
    </row>
    <row r="160" spans="1:10" x14ac:dyDescent="0.35">
      <c r="A160">
        <v>244</v>
      </c>
      <c r="B160" t="str">
        <v>Yes</v>
      </c>
      <c r="C160" t="str">
        <v>No</v>
      </c>
      <c r="D160" t="str">
        <v>No</v>
      </c>
      <c r="E160" t="str">
        <v>No</v>
      </c>
      <c r="F160">
        <v>5</v>
      </c>
      <c r="G160" t="str">
        <v>R</v>
      </c>
      <c r="H160">
        <v>1.25</v>
      </c>
      <c r="I160">
        <v>0</v>
      </c>
      <c r="J160">
        <v>0</v>
      </c>
    </row>
    <row r="161" spans="1:10" x14ac:dyDescent="0.35">
      <c r="A161">
        <v>86</v>
      </c>
      <c r="B161" t="str">
        <v>No</v>
      </c>
      <c r="C161" t="str">
        <v>No</v>
      </c>
      <c r="D161" t="str">
        <v>No</v>
      </c>
      <c r="E161" t="str">
        <v>No</v>
      </c>
      <c r="F161">
        <v>0</v>
      </c>
      <c r="G161" t="str">
        <v>hr</v>
      </c>
      <c r="H161">
        <v>0</v>
      </c>
      <c r="I161">
        <v>0</v>
      </c>
      <c r="J161">
        <v>0</v>
      </c>
    </row>
    <row r="162" spans="1:10" x14ac:dyDescent="0.35">
      <c r="A162">
        <v>536</v>
      </c>
      <c r="B162" t="str">
        <v>No</v>
      </c>
      <c r="C162" t="str">
        <v>No</v>
      </c>
      <c r="D162" t="str">
        <v>No</v>
      </c>
      <c r="E162" t="str">
        <v>No</v>
      </c>
      <c r="F162">
        <v>0</v>
      </c>
      <c r="G162" t="str">
        <v>hr</v>
      </c>
      <c r="H162">
        <v>0</v>
      </c>
      <c r="I162">
        <v>0</v>
      </c>
      <c r="J162">
        <v>0</v>
      </c>
    </row>
    <row r="163" spans="1:10" x14ac:dyDescent="0.35">
      <c r="A163">
        <v>110</v>
      </c>
      <c r="B163" t="str">
        <v>No</v>
      </c>
      <c r="C163" t="str">
        <v>No</v>
      </c>
      <c r="D163" t="str">
        <v>No</v>
      </c>
      <c r="E163" t="str">
        <v>No</v>
      </c>
      <c r="F163">
        <v>0</v>
      </c>
      <c r="G163" t="str">
        <v>hr</v>
      </c>
      <c r="H163">
        <v>0</v>
      </c>
      <c r="I163">
        <v>0</v>
      </c>
      <c r="J163">
        <v>0</v>
      </c>
    </row>
    <row r="164" spans="1:10" x14ac:dyDescent="0.35">
      <c r="A164">
        <v>731</v>
      </c>
      <c r="B164" t="str">
        <v>No</v>
      </c>
      <c r="C164" t="str">
        <v>No</v>
      </c>
      <c r="D164" t="str">
        <v>No</v>
      </c>
      <c r="E164" t="str">
        <v>No</v>
      </c>
      <c r="F164">
        <v>0</v>
      </c>
      <c r="G164" t="str">
        <v>hr</v>
      </c>
      <c r="H164">
        <v>0</v>
      </c>
      <c r="I164">
        <v>0</v>
      </c>
      <c r="J164">
        <v>0</v>
      </c>
    </row>
    <row r="165" spans="1:10" x14ac:dyDescent="0.35">
      <c r="A165">
        <v>658</v>
      </c>
      <c r="B165" t="str">
        <v>No</v>
      </c>
      <c r="C165" t="str">
        <v>Yes</v>
      </c>
      <c r="D165" t="str">
        <v>No</v>
      </c>
      <c r="E165" t="str">
        <v>Unrestricted</v>
      </c>
      <c r="F165">
        <v>90</v>
      </c>
      <c r="G165" t="str">
        <v>S</v>
      </c>
      <c r="H165">
        <v>78.75</v>
      </c>
      <c r="I165">
        <v>1</v>
      </c>
      <c r="J165">
        <v>1</v>
      </c>
    </row>
    <row r="166" spans="1:10" x14ac:dyDescent="0.35">
      <c r="A166">
        <v>239</v>
      </c>
      <c r="B166" t="str">
        <v>No</v>
      </c>
      <c r="C166" t="str">
        <v>Yes</v>
      </c>
      <c r="D166" t="str">
        <v>No</v>
      </c>
      <c r="E166" t="str">
        <v>Mix</v>
      </c>
      <c r="F166">
        <v>25</v>
      </c>
      <c r="G166" t="str">
        <v>MS</v>
      </c>
      <c r="H166">
        <v>18.75</v>
      </c>
      <c r="I166">
        <v>1</v>
      </c>
      <c r="J166">
        <v>1</v>
      </c>
    </row>
    <row r="167" spans="1:10" x14ac:dyDescent="0.35">
      <c r="A167">
        <v>434</v>
      </c>
      <c r="B167" t="str">
        <v>No</v>
      </c>
      <c r="C167" t="str">
        <v>No</v>
      </c>
      <c r="D167" t="str">
        <v>No</v>
      </c>
      <c r="E167" t="str">
        <v>Unrestricted</v>
      </c>
      <c r="F167">
        <v>40</v>
      </c>
      <c r="G167" t="str">
        <v>HS</v>
      </c>
      <c r="H167">
        <v>40</v>
      </c>
      <c r="I167">
        <v>1</v>
      </c>
      <c r="J167">
        <v>1</v>
      </c>
    </row>
    <row r="168" spans="1:10" x14ac:dyDescent="0.35">
      <c r="A168">
        <v>466</v>
      </c>
      <c r="B168" t="str">
        <v>No</v>
      </c>
      <c r="C168" t="str">
        <v>No</v>
      </c>
      <c r="D168" t="str">
        <v>No</v>
      </c>
      <c r="E168" t="str">
        <v>No</v>
      </c>
      <c r="F168">
        <v>0</v>
      </c>
      <c r="G168" t="str">
        <v>hr</v>
      </c>
      <c r="H168">
        <v>0</v>
      </c>
      <c r="I168">
        <v>0</v>
      </c>
      <c r="J168">
        <v>0</v>
      </c>
    </row>
    <row r="169" spans="1:10" x14ac:dyDescent="0.35">
      <c r="A169">
        <v>34</v>
      </c>
      <c r="B169" t="str">
        <v>No</v>
      </c>
      <c r="C169" t="str">
        <v>Yes</v>
      </c>
      <c r="D169" t="str">
        <v>No</v>
      </c>
      <c r="E169" t="str">
        <v>Restricted</v>
      </c>
      <c r="F169">
        <v>10</v>
      </c>
      <c r="G169" t="str">
        <v>MRMS</v>
      </c>
      <c r="H169">
        <v>5</v>
      </c>
      <c r="I169">
        <v>0</v>
      </c>
      <c r="J169">
        <v>1</v>
      </c>
    </row>
    <row r="170" spans="1:10" x14ac:dyDescent="0.35">
      <c r="A170">
        <v>390</v>
      </c>
      <c r="B170" t="str">
        <v>Yes</v>
      </c>
      <c r="C170" t="str">
        <v>Yes</v>
      </c>
      <c r="D170" t="str">
        <v>No</v>
      </c>
      <c r="E170" t="str">
        <v>Unrestricted</v>
      </c>
      <c r="F170">
        <v>20</v>
      </c>
      <c r="G170" t="str">
        <v>S</v>
      </c>
      <c r="H170">
        <v>17.5</v>
      </c>
      <c r="I170">
        <v>1</v>
      </c>
      <c r="J170">
        <v>1</v>
      </c>
    </row>
    <row r="171" spans="1:10" x14ac:dyDescent="0.35">
      <c r="A171">
        <v>490</v>
      </c>
      <c r="B171" t="str">
        <v>No</v>
      </c>
      <c r="C171" t="str">
        <v>No</v>
      </c>
      <c r="D171" t="str">
        <v>No</v>
      </c>
      <c r="E171" t="str">
        <v>No</v>
      </c>
      <c r="F171">
        <v>0</v>
      </c>
      <c r="G171" t="str">
        <v>hr</v>
      </c>
      <c r="H171">
        <v>0</v>
      </c>
      <c r="I171">
        <v>0</v>
      </c>
      <c r="J171">
        <v>0</v>
      </c>
    </row>
    <row r="172" spans="1:10" x14ac:dyDescent="0.35">
      <c r="A172">
        <v>320</v>
      </c>
      <c r="B172" t="str">
        <v>No</v>
      </c>
      <c r="C172" t="str">
        <v>Yes</v>
      </c>
      <c r="D172" t="str">
        <v>Yes</v>
      </c>
      <c r="E172" t="str">
        <v>No</v>
      </c>
      <c r="F172">
        <v>5</v>
      </c>
      <c r="G172" t="str">
        <v>r</v>
      </c>
      <c r="H172">
        <v>1.25</v>
      </c>
      <c r="I172">
        <v>0</v>
      </c>
      <c r="J172">
        <v>0</v>
      </c>
    </row>
    <row r="173" spans="1:10" x14ac:dyDescent="0.35">
      <c r="A173">
        <v>336</v>
      </c>
      <c r="B173" t="str">
        <v>No</v>
      </c>
      <c r="C173" t="str">
        <v>Yes</v>
      </c>
      <c r="D173" t="str">
        <v>No</v>
      </c>
      <c r="E173" t="str">
        <v>Restricted</v>
      </c>
      <c r="F173">
        <v>10</v>
      </c>
      <c r="G173" t="str">
        <v>MRMS</v>
      </c>
      <c r="H173">
        <v>5</v>
      </c>
      <c r="I173">
        <v>0</v>
      </c>
      <c r="J173">
        <v>1</v>
      </c>
    </row>
    <row r="174" spans="1:10" x14ac:dyDescent="0.35">
      <c r="A174">
        <v>113</v>
      </c>
      <c r="B174" t="str">
        <v>No</v>
      </c>
      <c r="C174" t="str">
        <v>No</v>
      </c>
      <c r="D174" t="str">
        <v>No</v>
      </c>
      <c r="E174" t="str">
        <v>No</v>
      </c>
      <c r="F174">
        <v>0</v>
      </c>
      <c r="G174" t="str">
        <v>hr</v>
      </c>
      <c r="H174">
        <v>0</v>
      </c>
      <c r="I174">
        <v>0</v>
      </c>
      <c r="J174">
        <v>0</v>
      </c>
    </row>
    <row r="175" spans="1:10" x14ac:dyDescent="0.35">
      <c r="A175">
        <v>545</v>
      </c>
      <c r="B175" t="str">
        <v>No</v>
      </c>
      <c r="C175" t="str">
        <v>No</v>
      </c>
      <c r="D175" t="str">
        <v>No</v>
      </c>
      <c r="E175" t="str">
        <v>No</v>
      </c>
      <c r="F175">
        <v>0</v>
      </c>
      <c r="G175" t="str">
        <v>hr</v>
      </c>
      <c r="H175">
        <v>0</v>
      </c>
      <c r="I175">
        <v>0</v>
      </c>
      <c r="J175">
        <v>0</v>
      </c>
    </row>
    <row r="176" spans="1:10" x14ac:dyDescent="0.35">
      <c r="A176">
        <v>356</v>
      </c>
      <c r="B176" t="str">
        <v>No</v>
      </c>
      <c r="C176" t="str">
        <v>No</v>
      </c>
      <c r="D176" t="str">
        <v>No</v>
      </c>
      <c r="E176" t="str">
        <v>No</v>
      </c>
      <c r="F176">
        <v>0</v>
      </c>
      <c r="G176" t="str">
        <v>hr</v>
      </c>
      <c r="H176">
        <v>0</v>
      </c>
      <c r="I176">
        <v>0</v>
      </c>
      <c r="J176">
        <v>0</v>
      </c>
    </row>
    <row r="177" spans="1:10" x14ac:dyDescent="0.35">
      <c r="A177">
        <v>238</v>
      </c>
      <c r="B177" t="str">
        <v>No</v>
      </c>
      <c r="C177" t="str">
        <v>Yes</v>
      </c>
      <c r="D177" t="str">
        <v>No</v>
      </c>
      <c r="E177" t="str">
        <v>Unrestricted</v>
      </c>
      <c r="F177">
        <v>80</v>
      </c>
      <c r="G177" t="str">
        <v>s</v>
      </c>
      <c r="H177">
        <v>70</v>
      </c>
      <c r="I177">
        <v>1</v>
      </c>
      <c r="J177">
        <v>1</v>
      </c>
    </row>
    <row r="178" spans="1:10" x14ac:dyDescent="0.35">
      <c r="A178">
        <v>202</v>
      </c>
      <c r="B178" t="str">
        <v>No</v>
      </c>
      <c r="C178" t="str">
        <v>Yes</v>
      </c>
      <c r="D178" t="str">
        <v>No</v>
      </c>
      <c r="E178" t="str">
        <v>Unrestricted</v>
      </c>
      <c r="F178">
        <v>20</v>
      </c>
      <c r="G178" t="str">
        <v>S</v>
      </c>
      <c r="H178">
        <v>17.5</v>
      </c>
      <c r="I178">
        <v>1</v>
      </c>
      <c r="J178">
        <v>1</v>
      </c>
    </row>
    <row r="179" spans="1:10" x14ac:dyDescent="0.35">
      <c r="A179">
        <v>135</v>
      </c>
      <c r="B179" t="str">
        <v>No</v>
      </c>
      <c r="C179" t="str">
        <v>No</v>
      </c>
      <c r="D179" t="str">
        <v>No</v>
      </c>
      <c r="E179" t="str">
        <v>No</v>
      </c>
      <c r="F179">
        <v>0</v>
      </c>
      <c r="G179" t="str">
        <v>hr</v>
      </c>
      <c r="H179">
        <v>0</v>
      </c>
      <c r="I179">
        <v>0</v>
      </c>
      <c r="J179">
        <v>0</v>
      </c>
    </row>
    <row r="180" spans="1:10" x14ac:dyDescent="0.35">
      <c r="A180">
        <v>733</v>
      </c>
      <c r="B180" t="str">
        <v>Yes</v>
      </c>
      <c r="C180" t="str">
        <v>Yes</v>
      </c>
      <c r="D180" t="str">
        <v>No</v>
      </c>
      <c r="E180" t="str">
        <v>Restricted</v>
      </c>
      <c r="F180">
        <v>5</v>
      </c>
      <c r="G180" t="str">
        <v>mrms</v>
      </c>
      <c r="H180">
        <v>2.5</v>
      </c>
      <c r="I180">
        <v>0</v>
      </c>
      <c r="J180">
        <v>1</v>
      </c>
    </row>
    <row r="181" spans="1:10" x14ac:dyDescent="0.35">
      <c r="A181">
        <v>60</v>
      </c>
      <c r="B181" t="str">
        <v>Yes</v>
      </c>
      <c r="C181" t="str">
        <v>No</v>
      </c>
      <c r="D181" t="str">
        <v>No</v>
      </c>
      <c r="E181" t="str">
        <v>No</v>
      </c>
      <c r="F181">
        <v>5</v>
      </c>
      <c r="G181" t="str">
        <v>R</v>
      </c>
      <c r="H181">
        <v>1.25</v>
      </c>
      <c r="I181">
        <v>0</v>
      </c>
      <c r="J181">
        <v>0</v>
      </c>
    </row>
    <row r="182" spans="1:10" x14ac:dyDescent="0.35">
      <c r="A182">
        <v>583</v>
      </c>
      <c r="B182" t="str">
        <v>No</v>
      </c>
      <c r="C182" t="str">
        <v>No</v>
      </c>
      <c r="D182" t="str">
        <v>No</v>
      </c>
      <c r="E182" t="str">
        <v>No</v>
      </c>
      <c r="F182">
        <v>0</v>
      </c>
      <c r="G182" t="str">
        <v>hr</v>
      </c>
      <c r="H182">
        <v>0</v>
      </c>
      <c r="I182">
        <v>0</v>
      </c>
      <c r="J182">
        <v>0</v>
      </c>
    </row>
    <row r="183" spans="1:10" x14ac:dyDescent="0.35">
      <c r="A183">
        <v>509</v>
      </c>
      <c r="B183" t="str">
        <v>Yes</v>
      </c>
      <c r="C183" t="str">
        <v>Yes</v>
      </c>
      <c r="D183" t="str">
        <v>Yes</v>
      </c>
      <c r="E183" t="str">
        <v>Mix</v>
      </c>
      <c r="F183">
        <v>20</v>
      </c>
      <c r="G183" t="str">
        <v>MS</v>
      </c>
      <c r="H183">
        <v>15</v>
      </c>
      <c r="I183">
        <v>1</v>
      </c>
      <c r="J183">
        <v>1</v>
      </c>
    </row>
    <row r="184" spans="1:10" x14ac:dyDescent="0.35">
      <c r="A184">
        <v>556</v>
      </c>
      <c r="B184" t="str">
        <v>Yes</v>
      </c>
      <c r="C184" t="str">
        <v>No</v>
      </c>
      <c r="D184" t="str">
        <v>No</v>
      </c>
      <c r="E184" t="str">
        <v>No</v>
      </c>
      <c r="F184">
        <v>5</v>
      </c>
      <c r="G184" t="str">
        <v>R</v>
      </c>
      <c r="H184">
        <v>1.25</v>
      </c>
      <c r="I184">
        <v>0</v>
      </c>
      <c r="J184">
        <v>0</v>
      </c>
    </row>
    <row r="185" spans="1:10" x14ac:dyDescent="0.35">
      <c r="A185">
        <v>162</v>
      </c>
      <c r="B185" t="str">
        <v>No</v>
      </c>
      <c r="C185" t="str">
        <v>Yes</v>
      </c>
      <c r="D185" t="str">
        <v>No</v>
      </c>
      <c r="E185" t="str">
        <v>Mix</v>
      </c>
      <c r="F185">
        <v>75</v>
      </c>
      <c r="G185" t="str">
        <v>MS</v>
      </c>
      <c r="H185">
        <v>56.25</v>
      </c>
      <c r="I185">
        <v>1</v>
      </c>
      <c r="J185">
        <v>1</v>
      </c>
    </row>
    <row r="186" spans="1:10" x14ac:dyDescent="0.35">
      <c r="A186">
        <v>586</v>
      </c>
      <c r="B186" t="str">
        <v>No</v>
      </c>
      <c r="C186" t="str">
        <v>No</v>
      </c>
      <c r="D186" t="str">
        <v>No</v>
      </c>
      <c r="E186" t="str">
        <v>No</v>
      </c>
      <c r="F186">
        <v>0</v>
      </c>
      <c r="G186" t="str">
        <v>HR</v>
      </c>
      <c r="H186">
        <v>0</v>
      </c>
      <c r="I186">
        <v>0</v>
      </c>
      <c r="J186">
        <v>0</v>
      </c>
    </row>
    <row r="187" spans="1:10" x14ac:dyDescent="0.35">
      <c r="A187">
        <v>561</v>
      </c>
      <c r="B187" t="str">
        <v>No</v>
      </c>
      <c r="C187" t="str">
        <v>No</v>
      </c>
      <c r="D187" t="str">
        <v>No</v>
      </c>
      <c r="E187" t="str">
        <v>No</v>
      </c>
      <c r="F187">
        <v>0</v>
      </c>
      <c r="G187" t="str">
        <v>HR</v>
      </c>
      <c r="H187">
        <v>0</v>
      </c>
      <c r="I187">
        <v>0</v>
      </c>
      <c r="J187">
        <v>0</v>
      </c>
    </row>
    <row r="188" spans="1:10" x14ac:dyDescent="0.35">
      <c r="A188">
        <v>634</v>
      </c>
      <c r="B188" t="str">
        <v>Yes</v>
      </c>
      <c r="C188" t="str">
        <v>No</v>
      </c>
      <c r="D188" t="str">
        <v>No</v>
      </c>
      <c r="E188" t="str">
        <v>No</v>
      </c>
      <c r="F188">
        <v>5</v>
      </c>
      <c r="G188" t="str">
        <v>R</v>
      </c>
      <c r="H188">
        <v>1.25</v>
      </c>
      <c r="I188">
        <v>0</v>
      </c>
      <c r="J188">
        <v>0</v>
      </c>
    </row>
    <row r="189" spans="1:10" x14ac:dyDescent="0.35">
      <c r="A189">
        <v>149</v>
      </c>
      <c r="B189" t="str">
        <v>No</v>
      </c>
      <c r="C189" t="str">
        <v>Yes</v>
      </c>
      <c r="D189" t="str">
        <v>Yes</v>
      </c>
      <c r="E189" t="str">
        <v>Restricted</v>
      </c>
      <c r="F189">
        <v>15</v>
      </c>
      <c r="G189" t="str">
        <v>MRMS</v>
      </c>
      <c r="H189">
        <v>7.5</v>
      </c>
      <c r="I189">
        <v>0</v>
      </c>
      <c r="J189">
        <v>1</v>
      </c>
    </row>
    <row r="190" spans="1:10" x14ac:dyDescent="0.35">
      <c r="A190">
        <v>507</v>
      </c>
      <c r="B190" t="str">
        <v>No</v>
      </c>
      <c r="C190" t="str">
        <v>Yes</v>
      </c>
      <c r="D190" t="str">
        <v>No</v>
      </c>
      <c r="E190" t="str">
        <v>Unrestricted</v>
      </c>
      <c r="F190">
        <v>25</v>
      </c>
      <c r="G190" t="str">
        <v>S</v>
      </c>
      <c r="H190">
        <v>21.875</v>
      </c>
      <c r="I190">
        <v>1</v>
      </c>
      <c r="J190">
        <v>1</v>
      </c>
    </row>
    <row r="191" spans="1:10" x14ac:dyDescent="0.35">
      <c r="A191">
        <v>519</v>
      </c>
      <c r="B191" t="str">
        <v>No</v>
      </c>
      <c r="C191" t="str">
        <v>No</v>
      </c>
      <c r="D191" t="str">
        <v>No</v>
      </c>
      <c r="E191" t="str">
        <v>No</v>
      </c>
      <c r="F191">
        <v>0</v>
      </c>
      <c r="G191" t="str">
        <v>HR</v>
      </c>
      <c r="H191">
        <v>0</v>
      </c>
      <c r="I191">
        <v>0</v>
      </c>
      <c r="J191">
        <v>0</v>
      </c>
    </row>
    <row r="192" spans="1:10" x14ac:dyDescent="0.35">
      <c r="A192">
        <v>109</v>
      </c>
      <c r="B192" t="str">
        <v>No</v>
      </c>
      <c r="C192" t="str">
        <v>No</v>
      </c>
      <c r="D192" t="str">
        <v>No</v>
      </c>
      <c r="E192" t="str">
        <v>No</v>
      </c>
      <c r="F192">
        <v>0</v>
      </c>
      <c r="G192" t="str">
        <v>HR</v>
      </c>
      <c r="H192">
        <v>0</v>
      </c>
      <c r="I192">
        <v>0</v>
      </c>
      <c r="J192">
        <v>0</v>
      </c>
    </row>
    <row r="193" spans="1:10" x14ac:dyDescent="0.35">
      <c r="A193">
        <v>470</v>
      </c>
      <c r="B193" t="str">
        <v>No</v>
      </c>
      <c r="C193" t="str">
        <v>No</v>
      </c>
      <c r="D193" t="str">
        <v>No</v>
      </c>
      <c r="E193" t="str">
        <v>Unrestricted</v>
      </c>
      <c r="F193">
        <v>40</v>
      </c>
      <c r="G193" t="str">
        <v>HS</v>
      </c>
      <c r="H193">
        <v>40</v>
      </c>
      <c r="I193">
        <v>1</v>
      </c>
      <c r="J193">
        <v>1</v>
      </c>
    </row>
    <row r="194" spans="1:10" x14ac:dyDescent="0.35">
      <c r="A194">
        <v>711</v>
      </c>
      <c r="B194" t="str">
        <v>Yes</v>
      </c>
      <c r="C194" t="str">
        <v>No</v>
      </c>
      <c r="D194" t="str">
        <v>No</v>
      </c>
      <c r="E194" t="str">
        <v>No</v>
      </c>
      <c r="F194">
        <v>5</v>
      </c>
      <c r="G194" t="str">
        <v>R</v>
      </c>
      <c r="H194">
        <v>1.25</v>
      </c>
      <c r="I194">
        <v>0</v>
      </c>
      <c r="J194">
        <v>0</v>
      </c>
    </row>
    <row r="195" spans="1:10" x14ac:dyDescent="0.35">
      <c r="A195">
        <v>542</v>
      </c>
      <c r="B195" t="str">
        <v>No</v>
      </c>
      <c r="C195" t="str">
        <v>No</v>
      </c>
      <c r="D195" t="str">
        <v>No</v>
      </c>
      <c r="E195" t="str">
        <v>No</v>
      </c>
      <c r="F195">
        <v>0</v>
      </c>
      <c r="G195" t="str">
        <v>HR</v>
      </c>
      <c r="H195">
        <v>0</v>
      </c>
      <c r="I195">
        <v>0</v>
      </c>
      <c r="J195">
        <v>0</v>
      </c>
    </row>
    <row r="196" spans="1:10" x14ac:dyDescent="0.35">
      <c r="A196">
        <v>594</v>
      </c>
      <c r="B196" t="str">
        <v>No</v>
      </c>
      <c r="C196" t="str">
        <v>No</v>
      </c>
      <c r="D196" t="str">
        <v>No</v>
      </c>
      <c r="E196" t="str">
        <v>No</v>
      </c>
      <c r="F196">
        <v>0</v>
      </c>
      <c r="G196" t="str">
        <v>HR</v>
      </c>
      <c r="H196">
        <v>0</v>
      </c>
      <c r="I196">
        <v>0</v>
      </c>
      <c r="J196">
        <v>0</v>
      </c>
    </row>
    <row r="197" spans="1:10" x14ac:dyDescent="0.35">
      <c r="A197">
        <v>687</v>
      </c>
      <c r="B197" t="str">
        <v>No</v>
      </c>
      <c r="C197" t="str">
        <v>No</v>
      </c>
      <c r="D197" t="str">
        <v>No</v>
      </c>
      <c r="E197" t="str">
        <v>No</v>
      </c>
      <c r="F197">
        <v>0</v>
      </c>
      <c r="G197" t="str">
        <v>HR</v>
      </c>
      <c r="H197">
        <v>0</v>
      </c>
      <c r="I197">
        <v>0</v>
      </c>
      <c r="J197">
        <v>0</v>
      </c>
    </row>
    <row r="198" spans="1:10" x14ac:dyDescent="0.35">
      <c r="A198">
        <v>355</v>
      </c>
      <c r="B198" t="str">
        <v>Yes</v>
      </c>
      <c r="C198" t="str">
        <v>No</v>
      </c>
      <c r="D198" t="str">
        <v>No</v>
      </c>
      <c r="E198" t="str">
        <v>No</v>
      </c>
      <c r="F198">
        <v>5</v>
      </c>
      <c r="G198" t="str">
        <v>R</v>
      </c>
      <c r="H198">
        <v>1.25</v>
      </c>
      <c r="I198">
        <v>0</v>
      </c>
      <c r="J198">
        <v>0</v>
      </c>
    </row>
    <row r="199" spans="1:10" x14ac:dyDescent="0.35">
      <c r="A199">
        <v>11</v>
      </c>
      <c r="B199" t="str">
        <v>No</v>
      </c>
      <c r="C199" t="str">
        <v>Yes</v>
      </c>
      <c r="D199" t="str">
        <v>No</v>
      </c>
      <c r="E199" t="str">
        <v>No</v>
      </c>
      <c r="F199">
        <v>5</v>
      </c>
      <c r="G199" t="str">
        <v>R</v>
      </c>
      <c r="H199">
        <v>1.25</v>
      </c>
      <c r="I199">
        <v>0</v>
      </c>
      <c r="J199">
        <v>0</v>
      </c>
    </row>
    <row r="200" spans="1:10" x14ac:dyDescent="0.35">
      <c r="A200">
        <v>35</v>
      </c>
      <c r="B200" t="str">
        <v>Yes</v>
      </c>
      <c r="C200" t="str">
        <v>No</v>
      </c>
      <c r="D200" t="str">
        <v>No</v>
      </c>
      <c r="E200" t="str">
        <v>No</v>
      </c>
      <c r="F200">
        <v>5</v>
      </c>
      <c r="G200" t="str">
        <v>R</v>
      </c>
      <c r="H200">
        <v>1.25</v>
      </c>
      <c r="I200">
        <v>0</v>
      </c>
      <c r="J200">
        <v>0</v>
      </c>
    </row>
    <row r="201" spans="1:10" x14ac:dyDescent="0.35">
      <c r="A201">
        <v>220</v>
      </c>
      <c r="B201" t="str">
        <v>No</v>
      </c>
      <c r="C201" t="str">
        <v>Yes</v>
      </c>
      <c r="D201" t="str">
        <v>No</v>
      </c>
      <c r="E201" t="str">
        <v>Mix</v>
      </c>
      <c r="F201">
        <v>80</v>
      </c>
      <c r="G201" t="str">
        <v>MS</v>
      </c>
      <c r="H201">
        <v>60</v>
      </c>
      <c r="I201">
        <v>1</v>
      </c>
      <c r="J201">
        <v>1</v>
      </c>
    </row>
    <row r="202" spans="1:10" x14ac:dyDescent="0.35">
      <c r="A202">
        <v>53</v>
      </c>
      <c r="B202" t="str">
        <v>No</v>
      </c>
      <c r="C202" t="str">
        <v>Yes</v>
      </c>
      <c r="D202" t="str">
        <v>No</v>
      </c>
      <c r="E202" t="str">
        <v>Unrestricted</v>
      </c>
      <c r="F202">
        <v>30</v>
      </c>
      <c r="G202" t="str">
        <v>HS</v>
      </c>
      <c r="H202">
        <v>30</v>
      </c>
      <c r="I202">
        <v>1</v>
      </c>
      <c r="J202">
        <v>1</v>
      </c>
    </row>
    <row r="203" spans="1:10" x14ac:dyDescent="0.35">
      <c r="A203">
        <v>503</v>
      </c>
      <c r="B203" t="str">
        <v>No</v>
      </c>
      <c r="C203" t="str">
        <v>Yes</v>
      </c>
      <c r="D203" t="str">
        <v>No</v>
      </c>
      <c r="E203" t="str">
        <v>Unrestricted</v>
      </c>
      <c r="F203">
        <v>25</v>
      </c>
      <c r="G203" t="str">
        <v>HS</v>
      </c>
      <c r="H203">
        <v>25</v>
      </c>
      <c r="I203">
        <v>1</v>
      </c>
      <c r="J203">
        <v>1</v>
      </c>
    </row>
    <row r="204" spans="1:10" x14ac:dyDescent="0.35">
      <c r="A204">
        <v>72</v>
      </c>
      <c r="B204" t="str">
        <v>No</v>
      </c>
      <c r="C204" t="str">
        <v>Yes</v>
      </c>
      <c r="D204" t="str">
        <v>No</v>
      </c>
      <c r="E204" t="str">
        <v>Unrestricted</v>
      </c>
      <c r="F204">
        <v>25</v>
      </c>
      <c r="G204" t="str">
        <v>S</v>
      </c>
      <c r="H204">
        <v>21.875</v>
      </c>
      <c r="I204">
        <v>1</v>
      </c>
      <c r="J204">
        <v>1</v>
      </c>
    </row>
    <row r="205" spans="1:10" x14ac:dyDescent="0.35">
      <c r="A205">
        <v>311</v>
      </c>
      <c r="B205" t="str">
        <v>No</v>
      </c>
      <c r="C205" t="str">
        <v>No</v>
      </c>
      <c r="D205" t="str">
        <v>No</v>
      </c>
      <c r="E205" t="str">
        <v>No</v>
      </c>
      <c r="F205">
        <v>0</v>
      </c>
      <c r="G205" t="str">
        <v>HR</v>
      </c>
      <c r="H205">
        <v>0</v>
      </c>
      <c r="I205">
        <v>0</v>
      </c>
      <c r="J205">
        <v>0</v>
      </c>
    </row>
    <row r="206" spans="1:10" x14ac:dyDescent="0.35">
      <c r="A206">
        <v>750</v>
      </c>
      <c r="B206" t="str">
        <v>No</v>
      </c>
      <c r="C206" t="str">
        <v>No</v>
      </c>
      <c r="D206" t="str">
        <v>No</v>
      </c>
      <c r="E206" t="str">
        <v>No</v>
      </c>
      <c r="F206">
        <v>0</v>
      </c>
      <c r="G206" t="str">
        <v>HR</v>
      </c>
      <c r="H206">
        <v>0</v>
      </c>
      <c r="I206">
        <v>0</v>
      </c>
      <c r="J206">
        <v>0</v>
      </c>
    </row>
    <row r="207" spans="1:10" x14ac:dyDescent="0.35">
      <c r="A207">
        <v>164</v>
      </c>
      <c r="B207" t="str">
        <v>Yes</v>
      </c>
      <c r="C207" t="str">
        <v>No</v>
      </c>
      <c r="D207" t="str">
        <v>No</v>
      </c>
      <c r="E207" t="str">
        <v>No</v>
      </c>
      <c r="F207">
        <v>5</v>
      </c>
      <c r="G207" t="str">
        <v>R</v>
      </c>
      <c r="H207">
        <v>1.25</v>
      </c>
      <c r="I207">
        <v>0</v>
      </c>
      <c r="J207">
        <v>0</v>
      </c>
    </row>
    <row r="208" spans="1:10" x14ac:dyDescent="0.35">
      <c r="A208">
        <v>140</v>
      </c>
      <c r="B208" t="str">
        <v>No</v>
      </c>
      <c r="C208" t="str">
        <v>No</v>
      </c>
      <c r="D208" t="str">
        <v>No</v>
      </c>
      <c r="E208" t="str">
        <v>No</v>
      </c>
      <c r="F208">
        <v>70</v>
      </c>
      <c r="G208" t="str">
        <v>HS</v>
      </c>
      <c r="H208">
        <v>70</v>
      </c>
      <c r="I208">
        <v>1</v>
      </c>
      <c r="J208">
        <v>1</v>
      </c>
    </row>
    <row r="209" spans="1:10" x14ac:dyDescent="0.35">
      <c r="A209">
        <v>563</v>
      </c>
      <c r="B209" t="str">
        <v>No</v>
      </c>
      <c r="C209" t="str">
        <v>No</v>
      </c>
      <c r="D209" t="str">
        <v>No</v>
      </c>
      <c r="E209" t="str">
        <v>No</v>
      </c>
      <c r="F209">
        <v>0</v>
      </c>
      <c r="G209" t="str">
        <v>HR</v>
      </c>
      <c r="H209">
        <v>0</v>
      </c>
      <c r="I209">
        <v>0</v>
      </c>
      <c r="J209">
        <v>0</v>
      </c>
    </row>
    <row r="210" spans="1:10" x14ac:dyDescent="0.35">
      <c r="A210">
        <v>695</v>
      </c>
      <c r="B210" t="str">
        <v>Yes</v>
      </c>
      <c r="C210" t="str">
        <v>No</v>
      </c>
      <c r="D210" t="str">
        <v>No</v>
      </c>
      <c r="E210" t="str">
        <v>No</v>
      </c>
      <c r="F210">
        <v>5</v>
      </c>
      <c r="G210" t="str">
        <v>R</v>
      </c>
      <c r="H210">
        <v>1.25</v>
      </c>
      <c r="I210">
        <v>0</v>
      </c>
      <c r="J210">
        <v>0</v>
      </c>
    </row>
    <row r="211" spans="1:10" x14ac:dyDescent="0.35">
      <c r="A211">
        <v>748</v>
      </c>
      <c r="B211" t="str">
        <v>No</v>
      </c>
      <c r="C211" t="str">
        <v>No</v>
      </c>
      <c r="D211" t="str">
        <v>No</v>
      </c>
      <c r="E211" t="str">
        <v>No</v>
      </c>
      <c r="F211">
        <v>0</v>
      </c>
      <c r="G211" t="str">
        <v>HR</v>
      </c>
      <c r="H211">
        <v>0</v>
      </c>
      <c r="I211">
        <v>0</v>
      </c>
      <c r="J211">
        <v>0</v>
      </c>
    </row>
    <row r="212" spans="1:10" x14ac:dyDescent="0.35">
      <c r="A212">
        <v>115</v>
      </c>
      <c r="B212" t="str">
        <v>Yes</v>
      </c>
      <c r="C212" t="str">
        <v>No</v>
      </c>
      <c r="D212" t="str">
        <v>No</v>
      </c>
      <c r="E212" t="str">
        <v>No</v>
      </c>
      <c r="F212">
        <v>5</v>
      </c>
      <c r="G212" t="str">
        <v>R</v>
      </c>
      <c r="H212">
        <v>1.25</v>
      </c>
      <c r="I212">
        <v>0</v>
      </c>
      <c r="J212">
        <v>0</v>
      </c>
    </row>
    <row r="213" spans="1:10" x14ac:dyDescent="0.35">
      <c r="A213">
        <v>394</v>
      </c>
      <c r="B213" t="str">
        <v>Yes</v>
      </c>
      <c r="C213" t="str">
        <v>Yes</v>
      </c>
      <c r="D213" t="str">
        <v>No</v>
      </c>
      <c r="E213" t="str">
        <v>No</v>
      </c>
      <c r="F213">
        <v>5</v>
      </c>
      <c r="G213" t="str">
        <v>r</v>
      </c>
      <c r="H213">
        <v>1.25</v>
      </c>
      <c r="I213">
        <v>0</v>
      </c>
      <c r="J213">
        <v>0</v>
      </c>
    </row>
    <row r="214" spans="1:10" x14ac:dyDescent="0.35">
      <c r="A214">
        <v>726</v>
      </c>
      <c r="B214" t="str">
        <v>No</v>
      </c>
      <c r="C214" t="str">
        <v>No</v>
      </c>
      <c r="D214" t="str">
        <v>No</v>
      </c>
      <c r="E214" t="str">
        <v>No</v>
      </c>
      <c r="F214">
        <v>0</v>
      </c>
      <c r="G214" t="str">
        <v>HR</v>
      </c>
      <c r="H214">
        <v>0</v>
      </c>
      <c r="I214">
        <v>0</v>
      </c>
      <c r="J214">
        <v>0</v>
      </c>
    </row>
    <row r="215" spans="1:10" x14ac:dyDescent="0.35">
      <c r="A215">
        <v>411</v>
      </c>
      <c r="B215" t="str">
        <v>No</v>
      </c>
      <c r="C215" t="str">
        <v>Yes</v>
      </c>
      <c r="D215" t="str">
        <v>No</v>
      </c>
      <c r="E215" t="str">
        <v>Unrestricted</v>
      </c>
      <c r="F215">
        <v>40</v>
      </c>
      <c r="G215" t="str">
        <v>S</v>
      </c>
      <c r="H215">
        <v>35</v>
      </c>
      <c r="I215">
        <v>1</v>
      </c>
      <c r="J215">
        <v>1</v>
      </c>
    </row>
    <row r="216" spans="1:10" x14ac:dyDescent="0.35">
      <c r="A216">
        <v>73</v>
      </c>
      <c r="B216" t="str">
        <v>No</v>
      </c>
      <c r="C216" t="str">
        <v>No</v>
      </c>
      <c r="D216" t="str">
        <v>No</v>
      </c>
      <c r="E216" t="str">
        <v>Restricted</v>
      </c>
      <c r="F216">
        <v>5</v>
      </c>
      <c r="G216" t="str">
        <v>MRMS</v>
      </c>
      <c r="H216">
        <v>2.5</v>
      </c>
      <c r="I216">
        <v>0</v>
      </c>
      <c r="J216">
        <v>1</v>
      </c>
    </row>
    <row r="217" spans="1:10" x14ac:dyDescent="0.35">
      <c r="A217">
        <v>537</v>
      </c>
      <c r="B217" t="str">
        <v>No</v>
      </c>
      <c r="C217" t="str">
        <v>No</v>
      </c>
      <c r="D217" t="str">
        <v>No</v>
      </c>
      <c r="E217" t="str">
        <v>No</v>
      </c>
      <c r="F217">
        <v>0</v>
      </c>
      <c r="G217" t="str">
        <v>HR</v>
      </c>
      <c r="H217">
        <v>0</v>
      </c>
      <c r="I217">
        <v>0</v>
      </c>
      <c r="J217">
        <v>0</v>
      </c>
    </row>
    <row r="218" spans="1:10" x14ac:dyDescent="0.35">
      <c r="A218">
        <v>632</v>
      </c>
      <c r="B218" t="str">
        <v>No</v>
      </c>
      <c r="C218" t="str">
        <v>No</v>
      </c>
      <c r="D218" t="str">
        <v>No</v>
      </c>
      <c r="E218" t="str">
        <v>No</v>
      </c>
      <c r="F218">
        <v>0</v>
      </c>
      <c r="G218" t="str">
        <v>HR</v>
      </c>
      <c r="H218">
        <v>0</v>
      </c>
      <c r="I218">
        <v>0</v>
      </c>
      <c r="J218">
        <v>0</v>
      </c>
    </row>
    <row r="219" spans="1:10" x14ac:dyDescent="0.35">
      <c r="A219">
        <v>32</v>
      </c>
      <c r="B219" t="str">
        <v>No</v>
      </c>
      <c r="C219" t="str">
        <v>Yes</v>
      </c>
      <c r="D219" t="str">
        <v>No</v>
      </c>
      <c r="E219" t="str">
        <v>Restricted</v>
      </c>
      <c r="F219">
        <v>15</v>
      </c>
      <c r="G219" t="str">
        <v>MRMS</v>
      </c>
      <c r="H219">
        <v>7.5</v>
      </c>
      <c r="I219">
        <v>0</v>
      </c>
      <c r="J219">
        <v>1</v>
      </c>
    </row>
    <row r="220" spans="1:10" x14ac:dyDescent="0.35">
      <c r="A220">
        <v>715</v>
      </c>
      <c r="B220" t="str">
        <v>Yes</v>
      </c>
      <c r="C220" t="str">
        <v>No</v>
      </c>
      <c r="D220" t="str">
        <v>No</v>
      </c>
      <c r="E220" t="str">
        <v>No</v>
      </c>
      <c r="F220">
        <v>5</v>
      </c>
      <c r="G220" t="str">
        <v>R</v>
      </c>
      <c r="H220">
        <v>1.25</v>
      </c>
      <c r="I220">
        <v>0</v>
      </c>
      <c r="J220">
        <v>0</v>
      </c>
    </row>
    <row r="221" spans="1:10" x14ac:dyDescent="0.35">
      <c r="A221">
        <v>514</v>
      </c>
      <c r="B221" t="str">
        <v>Yes</v>
      </c>
      <c r="C221" t="str">
        <v>Yes</v>
      </c>
      <c r="D221" t="str">
        <v>No</v>
      </c>
      <c r="E221" t="str">
        <v>No</v>
      </c>
      <c r="F221">
        <v>10</v>
      </c>
      <c r="G221" t="str">
        <v>R</v>
      </c>
      <c r="H221">
        <v>2.5</v>
      </c>
      <c r="I221">
        <v>0</v>
      </c>
      <c r="J221">
        <v>0</v>
      </c>
    </row>
    <row r="222" spans="1:10" x14ac:dyDescent="0.35">
      <c r="A222">
        <v>181</v>
      </c>
      <c r="B222" t="str">
        <v>No</v>
      </c>
      <c r="C222" t="str">
        <v>Yes</v>
      </c>
      <c r="D222" t="str">
        <v>Yes</v>
      </c>
      <c r="E222" t="str">
        <v>mix</v>
      </c>
      <c r="F222">
        <v>40</v>
      </c>
      <c r="G222" t="str">
        <v>S</v>
      </c>
      <c r="H222">
        <v>35</v>
      </c>
      <c r="I222">
        <v>1</v>
      </c>
      <c r="J222">
        <v>1</v>
      </c>
    </row>
    <row r="223" spans="1:10" x14ac:dyDescent="0.35">
      <c r="A223">
        <v>431</v>
      </c>
      <c r="B223" t="str">
        <v>Yes</v>
      </c>
      <c r="C223" t="str">
        <v>No</v>
      </c>
      <c r="D223" t="str">
        <v>No</v>
      </c>
      <c r="E223" t="str">
        <v>No</v>
      </c>
      <c r="F223">
        <v>5</v>
      </c>
      <c r="G223" t="str">
        <v>R</v>
      </c>
      <c r="H223">
        <v>1.25</v>
      </c>
      <c r="I223">
        <v>0</v>
      </c>
      <c r="J223">
        <v>0</v>
      </c>
    </row>
    <row r="224" spans="1:10" x14ac:dyDescent="0.35">
      <c r="A224">
        <v>727</v>
      </c>
      <c r="B224" t="str">
        <v>No</v>
      </c>
      <c r="C224" t="str">
        <v>No</v>
      </c>
      <c r="D224" t="str">
        <v>No</v>
      </c>
      <c r="E224" t="str">
        <v>Unrestricted</v>
      </c>
      <c r="F224">
        <v>80</v>
      </c>
      <c r="G224" t="str">
        <v>HS</v>
      </c>
      <c r="H224">
        <v>80</v>
      </c>
      <c r="I224">
        <v>1</v>
      </c>
      <c r="J224">
        <v>1</v>
      </c>
    </row>
    <row r="225" spans="1:10" x14ac:dyDescent="0.35">
      <c r="A225">
        <v>128</v>
      </c>
      <c r="B225" t="str">
        <v>No</v>
      </c>
      <c r="C225" t="str">
        <v>No</v>
      </c>
      <c r="D225" t="str">
        <v>No</v>
      </c>
      <c r="E225" t="str">
        <v>No</v>
      </c>
      <c r="F225">
        <v>0</v>
      </c>
      <c r="G225" t="str">
        <v>HR</v>
      </c>
      <c r="H225">
        <v>0</v>
      </c>
      <c r="I225">
        <v>0</v>
      </c>
      <c r="J225">
        <v>0</v>
      </c>
    </row>
    <row r="226" spans="1:10" x14ac:dyDescent="0.35">
      <c r="A226">
        <v>69</v>
      </c>
      <c r="B226" t="str">
        <v>No</v>
      </c>
      <c r="C226" t="str">
        <v>Yes</v>
      </c>
      <c r="D226" t="str">
        <v>No</v>
      </c>
      <c r="E226" t="str">
        <v>No</v>
      </c>
      <c r="F226">
        <v>90</v>
      </c>
      <c r="G226" t="str">
        <v>R</v>
      </c>
      <c r="H226">
        <v>22.5</v>
      </c>
      <c r="I226">
        <v>0</v>
      </c>
      <c r="J226">
        <v>0</v>
      </c>
    </row>
    <row r="227" spans="1:10" x14ac:dyDescent="0.35">
      <c r="A227">
        <v>94</v>
      </c>
      <c r="B227" t="str">
        <v>No</v>
      </c>
      <c r="C227" t="str">
        <v>Yes</v>
      </c>
      <c r="D227" t="str">
        <v>No</v>
      </c>
      <c r="E227" t="str">
        <v>mix</v>
      </c>
      <c r="F227">
        <v>80</v>
      </c>
      <c r="G227" t="str">
        <v>ms</v>
      </c>
      <c r="H227">
        <v>60</v>
      </c>
      <c r="I227">
        <v>1</v>
      </c>
      <c r="J227">
        <v>1</v>
      </c>
    </row>
    <row r="228" spans="1:10" x14ac:dyDescent="0.35">
      <c r="A228">
        <v>334</v>
      </c>
      <c r="B228" t="str">
        <v>No</v>
      </c>
      <c r="C228" t="str">
        <v>No</v>
      </c>
      <c r="D228" t="str">
        <v>No</v>
      </c>
      <c r="E228" t="str">
        <v>No</v>
      </c>
      <c r="F228">
        <v>0</v>
      </c>
      <c r="G228" t="str">
        <v>HR</v>
      </c>
      <c r="H228">
        <v>0</v>
      </c>
      <c r="I228">
        <v>0</v>
      </c>
      <c r="J228">
        <v>0</v>
      </c>
    </row>
    <row r="229" spans="1:10" x14ac:dyDescent="0.35">
      <c r="A229">
        <v>88</v>
      </c>
      <c r="B229" t="str">
        <v>Yes</v>
      </c>
      <c r="C229" t="str">
        <v>No</v>
      </c>
      <c r="D229" t="str">
        <v>No</v>
      </c>
      <c r="E229" t="str">
        <v>No</v>
      </c>
      <c r="F229">
        <v>5</v>
      </c>
      <c r="G229" t="str">
        <v>R</v>
      </c>
      <c r="H229">
        <v>1.25</v>
      </c>
      <c r="I229">
        <v>0</v>
      </c>
      <c r="J229">
        <v>0</v>
      </c>
    </row>
    <row r="230" spans="1:10" x14ac:dyDescent="0.35">
      <c r="A230">
        <v>184</v>
      </c>
      <c r="B230" t="str">
        <v>No</v>
      </c>
      <c r="C230" t="str">
        <v>No</v>
      </c>
      <c r="D230" t="str">
        <v>No</v>
      </c>
      <c r="E230" t="str">
        <v>No</v>
      </c>
      <c r="F230">
        <v>0</v>
      </c>
      <c r="G230" t="str">
        <v>HR</v>
      </c>
      <c r="H230">
        <v>0</v>
      </c>
      <c r="I230">
        <v>0</v>
      </c>
      <c r="J230">
        <v>0</v>
      </c>
    </row>
    <row r="231" spans="1:10" x14ac:dyDescent="0.35">
      <c r="A231">
        <v>145</v>
      </c>
      <c r="B231" t="str">
        <v>Yes</v>
      </c>
      <c r="C231" t="str">
        <v>No</v>
      </c>
      <c r="D231" t="str">
        <v>No</v>
      </c>
      <c r="E231" t="str">
        <v>No</v>
      </c>
      <c r="F231">
        <v>5</v>
      </c>
      <c r="G231" t="str">
        <v>R</v>
      </c>
      <c r="H231">
        <v>1.25</v>
      </c>
      <c r="I231">
        <v>0</v>
      </c>
      <c r="J231">
        <v>0</v>
      </c>
    </row>
    <row r="232" spans="1:10" x14ac:dyDescent="0.35">
      <c r="A232">
        <v>707</v>
      </c>
      <c r="B232" t="str">
        <v>Yes</v>
      </c>
      <c r="C232" t="str">
        <v>No</v>
      </c>
      <c r="D232" t="str">
        <v>No</v>
      </c>
      <c r="E232" t="str">
        <v>No</v>
      </c>
      <c r="F232">
        <v>5</v>
      </c>
      <c r="G232" t="str">
        <v>R</v>
      </c>
      <c r="H232">
        <v>1.25</v>
      </c>
      <c r="I232">
        <v>0</v>
      </c>
      <c r="J232">
        <v>0</v>
      </c>
    </row>
    <row r="233" spans="1:10" x14ac:dyDescent="0.35">
      <c r="A233">
        <v>728</v>
      </c>
      <c r="B233" t="str">
        <v>No</v>
      </c>
      <c r="C233" t="str">
        <v>No</v>
      </c>
      <c r="D233" t="str">
        <v>No</v>
      </c>
      <c r="E233" t="str">
        <v>No</v>
      </c>
      <c r="F233">
        <v>0</v>
      </c>
      <c r="G233" t="str">
        <v>HR</v>
      </c>
      <c r="H233">
        <v>0</v>
      </c>
      <c r="I233">
        <v>0</v>
      </c>
      <c r="J233">
        <v>0</v>
      </c>
    </row>
    <row r="234" spans="1:10" x14ac:dyDescent="0.35">
      <c r="A234">
        <v>317</v>
      </c>
      <c r="B234" t="str">
        <v>Yes</v>
      </c>
      <c r="C234" t="str">
        <v>No</v>
      </c>
      <c r="D234" t="str">
        <v>No</v>
      </c>
      <c r="E234" t="str">
        <v>No</v>
      </c>
      <c r="F234">
        <v>5</v>
      </c>
      <c r="G234" t="str">
        <v>R</v>
      </c>
      <c r="H234">
        <v>1.25</v>
      </c>
      <c r="I234">
        <v>0</v>
      </c>
      <c r="J234">
        <v>0</v>
      </c>
    </row>
    <row r="235" spans="1:10" x14ac:dyDescent="0.35">
      <c r="A235">
        <v>564</v>
      </c>
      <c r="B235" t="str">
        <v>Yes</v>
      </c>
      <c r="C235" t="str">
        <v>No</v>
      </c>
      <c r="D235" t="str">
        <v>No</v>
      </c>
      <c r="E235" t="str">
        <v>No</v>
      </c>
      <c r="F235">
        <v>5</v>
      </c>
      <c r="G235" t="str">
        <v>R</v>
      </c>
      <c r="H235">
        <v>1.25</v>
      </c>
      <c r="I235">
        <v>0</v>
      </c>
      <c r="J235">
        <v>0</v>
      </c>
    </row>
    <row r="236" spans="1:10" x14ac:dyDescent="0.35">
      <c r="A236">
        <v>508</v>
      </c>
      <c r="B236" t="str">
        <v>Yes</v>
      </c>
      <c r="C236" t="str">
        <v>Yes</v>
      </c>
      <c r="D236" t="str">
        <v>No</v>
      </c>
      <c r="E236" t="str">
        <v>Mix</v>
      </c>
      <c r="F236">
        <v>20</v>
      </c>
      <c r="G236" t="str">
        <v>S</v>
      </c>
      <c r="H236">
        <v>17.5</v>
      </c>
      <c r="I236">
        <v>1</v>
      </c>
      <c r="J236">
        <v>1</v>
      </c>
    </row>
    <row r="237" spans="1:10" x14ac:dyDescent="0.35">
      <c r="A237">
        <v>432</v>
      </c>
      <c r="B237" t="str">
        <v>Yes</v>
      </c>
      <c r="C237" t="str">
        <v>Yes</v>
      </c>
      <c r="D237" t="str">
        <v>No</v>
      </c>
      <c r="E237" t="str">
        <v>Unrestricted</v>
      </c>
      <c r="F237">
        <v>60</v>
      </c>
      <c r="G237" t="str">
        <v>S</v>
      </c>
      <c r="H237">
        <v>52.5</v>
      </c>
      <c r="I237">
        <v>1</v>
      </c>
      <c r="J237">
        <v>1</v>
      </c>
    </row>
    <row r="238" spans="1:10" x14ac:dyDescent="0.35">
      <c r="A238">
        <v>263</v>
      </c>
      <c r="B238" t="str">
        <v>Yes</v>
      </c>
      <c r="C238" t="str">
        <v>Yes</v>
      </c>
      <c r="D238" t="str">
        <v>Yes</v>
      </c>
      <c r="E238" t="str">
        <v>Unrestricted</v>
      </c>
      <c r="F238">
        <v>40</v>
      </c>
      <c r="G238" t="str">
        <v>S</v>
      </c>
      <c r="H238">
        <v>35</v>
      </c>
      <c r="I238">
        <v>1</v>
      </c>
      <c r="J238">
        <v>1</v>
      </c>
    </row>
    <row r="239" spans="1:10" x14ac:dyDescent="0.35">
      <c r="A239">
        <v>584</v>
      </c>
      <c r="B239" t="str">
        <v>Yes</v>
      </c>
      <c r="C239" t="str">
        <v>No</v>
      </c>
      <c r="D239" t="str">
        <v>No</v>
      </c>
      <c r="E239" t="str">
        <v>No</v>
      </c>
      <c r="F239">
        <v>5</v>
      </c>
      <c r="G239" t="str">
        <v>R</v>
      </c>
      <c r="H239">
        <v>1.25</v>
      </c>
      <c r="I239">
        <v>0</v>
      </c>
      <c r="J239">
        <v>0</v>
      </c>
    </row>
    <row r="240" spans="1:10" x14ac:dyDescent="0.35">
      <c r="A240">
        <v>562</v>
      </c>
      <c r="B240" t="str">
        <v>Yes</v>
      </c>
      <c r="C240" t="str">
        <v>No</v>
      </c>
      <c r="D240" t="str">
        <v>No</v>
      </c>
      <c r="E240" t="str">
        <v>No</v>
      </c>
      <c r="F240">
        <v>5</v>
      </c>
      <c r="G240" t="str">
        <v>R</v>
      </c>
      <c r="H240">
        <v>1.25</v>
      </c>
      <c r="I240">
        <v>0</v>
      </c>
      <c r="J240">
        <v>0</v>
      </c>
    </row>
    <row r="241" spans="1:10" x14ac:dyDescent="0.35">
      <c r="A241">
        <v>593</v>
      </c>
      <c r="B241" t="str">
        <v>Yes</v>
      </c>
      <c r="C241" t="str">
        <v>No</v>
      </c>
      <c r="D241" t="str">
        <v>No</v>
      </c>
      <c r="E241" t="str">
        <v>No</v>
      </c>
      <c r="F241">
        <v>5</v>
      </c>
      <c r="G241" t="str">
        <v>R</v>
      </c>
      <c r="H241">
        <v>1.25</v>
      </c>
      <c r="I241">
        <v>0</v>
      </c>
      <c r="J241">
        <v>0</v>
      </c>
    </row>
    <row r="242" spans="1:10" x14ac:dyDescent="0.35">
      <c r="A242">
        <v>636</v>
      </c>
      <c r="B242" t="str">
        <v>Yes</v>
      </c>
      <c r="C242" t="str">
        <v>No</v>
      </c>
      <c r="D242" t="str">
        <v>No</v>
      </c>
      <c r="E242" t="str">
        <v>No</v>
      </c>
      <c r="F242">
        <v>5</v>
      </c>
      <c r="G242" t="str">
        <v>R</v>
      </c>
      <c r="H242">
        <v>1.25</v>
      </c>
      <c r="I242">
        <v>0</v>
      </c>
      <c r="J242">
        <v>0</v>
      </c>
    </row>
    <row r="243" spans="1:10" x14ac:dyDescent="0.35">
      <c r="A243">
        <v>12</v>
      </c>
      <c r="B243" t="str">
        <v>Yes</v>
      </c>
      <c r="C243" t="str">
        <v>Yes</v>
      </c>
      <c r="D243" t="str">
        <v>No</v>
      </c>
      <c r="E243" t="str">
        <v>No</v>
      </c>
      <c r="F243">
        <v>5</v>
      </c>
      <c r="G243" t="str">
        <v>R</v>
      </c>
      <c r="H243">
        <v>1.25</v>
      </c>
      <c r="I243">
        <v>0</v>
      </c>
      <c r="J243">
        <v>0</v>
      </c>
    </row>
    <row r="244" spans="1:10" x14ac:dyDescent="0.35">
      <c r="A244">
        <v>686</v>
      </c>
      <c r="B244" t="str">
        <v>No</v>
      </c>
      <c r="C244" t="str">
        <v>No</v>
      </c>
      <c r="D244" t="str">
        <v>No</v>
      </c>
      <c r="E244" t="str">
        <v>No</v>
      </c>
      <c r="F244">
        <v>0</v>
      </c>
      <c r="G244" t="str">
        <v>HR</v>
      </c>
      <c r="H244">
        <v>0</v>
      </c>
      <c r="I244">
        <v>0</v>
      </c>
      <c r="J244">
        <v>0</v>
      </c>
    </row>
    <row r="245" spans="1:10" x14ac:dyDescent="0.35">
      <c r="A245">
        <v>708</v>
      </c>
      <c r="B245" t="str">
        <v>No</v>
      </c>
      <c r="C245" t="str">
        <v>No</v>
      </c>
      <c r="D245" t="str">
        <v>No</v>
      </c>
      <c r="E245" t="str">
        <v>No</v>
      </c>
      <c r="F245">
        <v>0</v>
      </c>
      <c r="G245" t="str">
        <v>HR</v>
      </c>
      <c r="H245">
        <v>0</v>
      </c>
      <c r="I245">
        <v>0</v>
      </c>
      <c r="J2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Guo</dc:creator>
  <cp:lastModifiedBy>Karina Guo</cp:lastModifiedBy>
  <dcterms:created xsi:type="dcterms:W3CDTF">2025-03-30T23:37:30Z</dcterms:created>
  <dcterms:modified xsi:type="dcterms:W3CDTF">2025-05-20T04:41:44Z</dcterms:modified>
</cp:coreProperties>
</file>