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rl\OneDrive\Documents\Uni\Doctorate\Ch2 Stressor\Scoring\"/>
    </mc:Choice>
  </mc:AlternateContent>
  <xr:revisionPtr revIDLastSave="0" documentId="13_ncr:1_{7A76CF33-BB80-4F09-A2B1-D5B13121AD43}" xr6:coauthVersionLast="47" xr6:coauthVersionMax="47" xr10:uidLastSave="{00000000-0000-0000-0000-000000000000}"/>
  <bookViews>
    <workbookView xWindow="-110" yWindow="-110" windowWidth="22620" windowHeight="13500" xr2:uid="{095B49A4-C249-4B2A-8132-4BE5DD11A344}"/>
  </bookViews>
  <sheets>
    <sheet name="Sheet1" sheetId="1" r:id="rId1"/>
    <sheet name="Sheet2" sheetId="2" r:id="rId2"/>
  </sheets>
  <definedNames>
    <definedName name="_xlnm._FilterDatabase" localSheetId="0" hidden="1">Sheet1!$A$2:$U$337</definedName>
    <definedName name="_xlnm.Print_Area" localSheetId="0">Sheet1!$A:$K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I17" i="1"/>
  <c r="H17" i="1"/>
  <c r="U7" i="1" l="1"/>
  <c r="H329" i="1" s="1"/>
  <c r="I144" i="1"/>
  <c r="I329" i="1"/>
  <c r="I207" i="1"/>
  <c r="I174" i="1"/>
  <c r="I259" i="1"/>
  <c r="I211" i="1"/>
  <c r="I223" i="1"/>
  <c r="I322" i="1"/>
  <c r="I324" i="1"/>
  <c r="I197" i="1"/>
  <c r="I298" i="1"/>
  <c r="I309" i="1"/>
  <c r="I310" i="1"/>
  <c r="I323" i="1"/>
  <c r="I326" i="1"/>
  <c r="I222" i="1"/>
  <c r="I125" i="1"/>
  <c r="I132" i="1"/>
  <c r="I315" i="1"/>
  <c r="I139" i="1"/>
  <c r="I224" i="1"/>
  <c r="I225" i="1"/>
  <c r="I226" i="1"/>
  <c r="I3" i="1"/>
  <c r="I4" i="1"/>
  <c r="I5" i="1"/>
  <c r="I227" i="1"/>
  <c r="I6" i="1"/>
  <c r="I7" i="1"/>
  <c r="I8" i="1"/>
  <c r="I228" i="1"/>
  <c r="I9" i="1"/>
  <c r="I229" i="1"/>
  <c r="I230" i="1"/>
  <c r="I10" i="1"/>
  <c r="I231" i="1"/>
  <c r="I11" i="1"/>
  <c r="I299" i="1"/>
  <c r="I150" i="1"/>
  <c r="I12" i="1"/>
  <c r="I300" i="1"/>
  <c r="I13" i="1"/>
  <c r="I151" i="1"/>
  <c r="I14" i="1"/>
  <c r="I232" i="1"/>
  <c r="I233" i="1"/>
  <c r="I234" i="1"/>
  <c r="I15" i="1"/>
  <c r="I235" i="1"/>
  <c r="I301" i="1"/>
  <c r="I236" i="1"/>
  <c r="I237" i="1"/>
  <c r="I238" i="1"/>
  <c r="I16" i="1"/>
  <c r="I212" i="1"/>
  <c r="I239" i="1"/>
  <c r="I123" i="1"/>
  <c r="I152" i="1"/>
  <c r="I302" i="1"/>
  <c r="I240" i="1"/>
  <c r="I241" i="1"/>
  <c r="I242" i="1"/>
  <c r="I18" i="1"/>
  <c r="I19" i="1"/>
  <c r="I213" i="1"/>
  <c r="I153" i="1"/>
  <c r="I154" i="1"/>
  <c r="I155" i="1"/>
  <c r="I243" i="1"/>
  <c r="I156" i="1"/>
  <c r="I303" i="1"/>
  <c r="I304" i="1"/>
  <c r="I124" i="1"/>
  <c r="I126" i="1"/>
  <c r="I244" i="1"/>
  <c r="I127" i="1"/>
  <c r="I20" i="1"/>
  <c r="I305" i="1"/>
  <c r="I157" i="1"/>
  <c r="I21" i="1"/>
  <c r="I245" i="1"/>
  <c r="I22" i="1"/>
  <c r="I23" i="1"/>
  <c r="I246" i="1"/>
  <c r="I24" i="1"/>
  <c r="I247" i="1"/>
  <c r="I25" i="1"/>
  <c r="I26" i="1"/>
  <c r="I128" i="1"/>
  <c r="I27" i="1"/>
  <c r="I158" i="1"/>
  <c r="I28" i="1"/>
  <c r="I306" i="1"/>
  <c r="I129" i="1"/>
  <c r="I307" i="1"/>
  <c r="I29" i="1"/>
  <c r="I159" i="1"/>
  <c r="I130" i="1"/>
  <c r="I30" i="1"/>
  <c r="I31" i="1"/>
  <c r="I308" i="1"/>
  <c r="I32" i="1"/>
  <c r="I33" i="1"/>
  <c r="I34" i="1"/>
  <c r="I35" i="1"/>
  <c r="I36" i="1"/>
  <c r="I248" i="1"/>
  <c r="I160" i="1"/>
  <c r="I37" i="1"/>
  <c r="I38" i="1"/>
  <c r="I249" i="1"/>
  <c r="I250" i="1"/>
  <c r="I131" i="1"/>
  <c r="I161" i="1"/>
  <c r="I251" i="1"/>
  <c r="I39" i="1"/>
  <c r="I214" i="1"/>
  <c r="I40" i="1"/>
  <c r="I162" i="1"/>
  <c r="I41" i="1"/>
  <c r="I133" i="1"/>
  <c r="I163" i="1"/>
  <c r="I164" i="1"/>
  <c r="I134" i="1"/>
  <c r="I135" i="1"/>
  <c r="I215" i="1"/>
  <c r="I165" i="1"/>
  <c r="I166" i="1"/>
  <c r="I148" i="1"/>
  <c r="I167" i="1"/>
  <c r="I168" i="1"/>
  <c r="I136" i="1"/>
  <c r="I137" i="1"/>
  <c r="I311" i="1"/>
  <c r="I138" i="1"/>
  <c r="I169" i="1"/>
  <c r="I170" i="1"/>
  <c r="I312" i="1"/>
  <c r="I313" i="1"/>
  <c r="I216" i="1"/>
  <c r="I217" i="1"/>
  <c r="I218" i="1"/>
  <c r="I171" i="1"/>
  <c r="I42" i="1"/>
  <c r="I172" i="1"/>
  <c r="I173" i="1"/>
  <c r="I43" i="1"/>
  <c r="I44" i="1"/>
  <c r="I314" i="1"/>
  <c r="I175" i="1"/>
  <c r="I252" i="1"/>
  <c r="I176" i="1"/>
  <c r="I45" i="1"/>
  <c r="I177" i="1"/>
  <c r="I46" i="1"/>
  <c r="I47" i="1"/>
  <c r="I178" i="1"/>
  <c r="I48" i="1"/>
  <c r="I179" i="1"/>
  <c r="I49" i="1"/>
  <c r="I50" i="1"/>
  <c r="I253" i="1"/>
  <c r="I51" i="1"/>
  <c r="I52" i="1"/>
  <c r="I254" i="1"/>
  <c r="I316" i="1"/>
  <c r="I53" i="1"/>
  <c r="I54" i="1"/>
  <c r="I219" i="1"/>
  <c r="I180" i="1"/>
  <c r="I317" i="1"/>
  <c r="I181" i="1"/>
  <c r="I182" i="1"/>
  <c r="I55" i="1"/>
  <c r="I183" i="1"/>
  <c r="I56" i="1"/>
  <c r="I318" i="1"/>
  <c r="I255" i="1"/>
  <c r="I184" i="1"/>
  <c r="I57" i="1"/>
  <c r="I220" i="1"/>
  <c r="I58" i="1"/>
  <c r="I319" i="1"/>
  <c r="I185" i="1"/>
  <c r="I256" i="1"/>
  <c r="I257" i="1"/>
  <c r="I258" i="1"/>
  <c r="I320" i="1"/>
  <c r="I59" i="1"/>
  <c r="I140" i="1"/>
  <c r="I149" i="1"/>
  <c r="I186" i="1"/>
  <c r="I321" i="1"/>
  <c r="I187" i="1"/>
  <c r="I221" i="1"/>
  <c r="I260" i="1"/>
  <c r="I261" i="1"/>
  <c r="I188" i="1"/>
  <c r="I189" i="1"/>
  <c r="I190" i="1"/>
  <c r="I191" i="1"/>
  <c r="I60" i="1"/>
  <c r="I262" i="1"/>
  <c r="I263" i="1"/>
  <c r="I142" i="1"/>
  <c r="I192" i="1"/>
  <c r="I193" i="1"/>
  <c r="I264" i="1"/>
  <c r="I194" i="1"/>
  <c r="I195" i="1"/>
  <c r="I265" i="1"/>
  <c r="I266" i="1"/>
  <c r="I61" i="1"/>
  <c r="I267" i="1"/>
  <c r="I325" i="1"/>
  <c r="I143" i="1"/>
  <c r="I196" i="1"/>
  <c r="I62" i="1"/>
  <c r="I63" i="1"/>
  <c r="I64" i="1"/>
  <c r="I268" i="1"/>
  <c r="I65" i="1"/>
  <c r="I66" i="1"/>
  <c r="I67" i="1"/>
  <c r="I269" i="1"/>
  <c r="I68" i="1"/>
  <c r="I270" i="1"/>
  <c r="I271" i="1"/>
  <c r="I272" i="1"/>
  <c r="I69" i="1"/>
  <c r="I70" i="1"/>
  <c r="I273" i="1"/>
  <c r="I274" i="1"/>
  <c r="I71" i="1"/>
  <c r="I72" i="1"/>
  <c r="I73" i="1"/>
  <c r="I275" i="1"/>
  <c r="I74" i="1"/>
  <c r="I276" i="1"/>
  <c r="I75" i="1"/>
  <c r="I277" i="1"/>
  <c r="I76" i="1"/>
  <c r="I77" i="1"/>
  <c r="I78" i="1"/>
  <c r="I278" i="1"/>
  <c r="I79" i="1"/>
  <c r="I80" i="1"/>
  <c r="I279" i="1"/>
  <c r="I280" i="1"/>
  <c r="I81" i="1"/>
  <c r="I281" i="1"/>
  <c r="I282" i="1"/>
  <c r="I82" i="1"/>
  <c r="I83" i="1"/>
  <c r="I84" i="1"/>
  <c r="I85" i="1"/>
  <c r="I86" i="1"/>
  <c r="I87" i="1"/>
  <c r="I88" i="1"/>
  <c r="I89" i="1"/>
  <c r="I90" i="1"/>
  <c r="I91" i="1"/>
  <c r="I92" i="1"/>
  <c r="I93" i="1"/>
  <c r="I283" i="1"/>
  <c r="I94" i="1"/>
  <c r="I95" i="1"/>
  <c r="I284" i="1"/>
  <c r="I285" i="1"/>
  <c r="I96" i="1"/>
  <c r="I97" i="1"/>
  <c r="I286" i="1"/>
  <c r="I198" i="1"/>
  <c r="I199" i="1"/>
  <c r="I200" i="1"/>
  <c r="I201" i="1"/>
  <c r="I287" i="1"/>
  <c r="I98" i="1"/>
  <c r="I288" i="1"/>
  <c r="I202" i="1"/>
  <c r="I203" i="1"/>
  <c r="I204" i="1"/>
  <c r="I99" i="1"/>
  <c r="I100" i="1"/>
  <c r="I101" i="1"/>
  <c r="I327" i="1"/>
  <c r="I328" i="1"/>
  <c r="I289" i="1"/>
  <c r="I102" i="1"/>
  <c r="I103" i="1"/>
  <c r="I205" i="1"/>
  <c r="I330" i="1"/>
  <c r="I331" i="1"/>
  <c r="I206" i="1"/>
  <c r="I145" i="1"/>
  <c r="I290" i="1"/>
  <c r="I104" i="1"/>
  <c r="I208" i="1"/>
  <c r="I105" i="1"/>
  <c r="I106" i="1"/>
  <c r="I107" i="1"/>
  <c r="I108" i="1"/>
  <c r="I109" i="1"/>
  <c r="I110" i="1"/>
  <c r="I111" i="1"/>
  <c r="I112" i="1"/>
  <c r="I113" i="1"/>
  <c r="I291" i="1"/>
  <c r="I209" i="1"/>
  <c r="I292" i="1"/>
  <c r="I146" i="1"/>
  <c r="I114" i="1"/>
  <c r="I293" i="1"/>
  <c r="I115" i="1"/>
  <c r="I116" i="1"/>
  <c r="I117" i="1"/>
  <c r="I118" i="1"/>
  <c r="I119" i="1"/>
  <c r="I294" i="1"/>
  <c r="I147" i="1"/>
  <c r="I120" i="1"/>
  <c r="I295" i="1"/>
  <c r="I296" i="1"/>
  <c r="I121" i="1"/>
  <c r="I122" i="1"/>
  <c r="I297" i="1"/>
  <c r="I210" i="1"/>
  <c r="I141" i="1"/>
  <c r="J144" i="1"/>
  <c r="J329" i="1"/>
  <c r="J207" i="1"/>
  <c r="J174" i="1"/>
  <c r="J259" i="1"/>
  <c r="J211" i="1"/>
  <c r="J223" i="1"/>
  <c r="J322" i="1"/>
  <c r="J324" i="1"/>
  <c r="J197" i="1"/>
  <c r="J298" i="1"/>
  <c r="J309" i="1"/>
  <c r="J310" i="1"/>
  <c r="J323" i="1"/>
  <c r="J326" i="1"/>
  <c r="J222" i="1"/>
  <c r="J125" i="1"/>
  <c r="J132" i="1"/>
  <c r="J315" i="1"/>
  <c r="J139" i="1"/>
  <c r="J224" i="1"/>
  <c r="J225" i="1"/>
  <c r="J226" i="1"/>
  <c r="J3" i="1"/>
  <c r="J4" i="1"/>
  <c r="J5" i="1"/>
  <c r="J227" i="1"/>
  <c r="J6" i="1"/>
  <c r="J7" i="1"/>
  <c r="J8" i="1"/>
  <c r="J228" i="1"/>
  <c r="J9" i="1"/>
  <c r="J229" i="1"/>
  <c r="J230" i="1"/>
  <c r="J10" i="1"/>
  <c r="J231" i="1"/>
  <c r="J11" i="1"/>
  <c r="J299" i="1"/>
  <c r="J150" i="1"/>
  <c r="J12" i="1"/>
  <c r="J300" i="1"/>
  <c r="J13" i="1"/>
  <c r="J151" i="1"/>
  <c r="J14" i="1"/>
  <c r="J232" i="1"/>
  <c r="J233" i="1"/>
  <c r="J234" i="1"/>
  <c r="J15" i="1"/>
  <c r="J235" i="1"/>
  <c r="J301" i="1"/>
  <c r="J236" i="1"/>
  <c r="J237" i="1"/>
  <c r="J238" i="1"/>
  <c r="J16" i="1"/>
  <c r="J212" i="1"/>
  <c r="J239" i="1"/>
  <c r="J123" i="1"/>
  <c r="J152" i="1"/>
  <c r="J302" i="1"/>
  <c r="J240" i="1"/>
  <c r="J241" i="1"/>
  <c r="J242" i="1"/>
  <c r="J18" i="1"/>
  <c r="J19" i="1"/>
  <c r="J213" i="1"/>
  <c r="J153" i="1"/>
  <c r="J154" i="1"/>
  <c r="J155" i="1"/>
  <c r="J243" i="1"/>
  <c r="J156" i="1"/>
  <c r="J303" i="1"/>
  <c r="J304" i="1"/>
  <c r="J124" i="1"/>
  <c r="J126" i="1"/>
  <c r="J244" i="1"/>
  <c r="J127" i="1"/>
  <c r="J20" i="1"/>
  <c r="J305" i="1"/>
  <c r="J157" i="1"/>
  <c r="J21" i="1"/>
  <c r="J245" i="1"/>
  <c r="J22" i="1"/>
  <c r="J23" i="1"/>
  <c r="J246" i="1"/>
  <c r="J24" i="1"/>
  <c r="J247" i="1"/>
  <c r="J25" i="1"/>
  <c r="J26" i="1"/>
  <c r="J128" i="1"/>
  <c r="J27" i="1"/>
  <c r="J158" i="1"/>
  <c r="J28" i="1"/>
  <c r="J306" i="1"/>
  <c r="J129" i="1"/>
  <c r="J307" i="1"/>
  <c r="J29" i="1"/>
  <c r="J159" i="1"/>
  <c r="J130" i="1"/>
  <c r="J30" i="1"/>
  <c r="J31" i="1"/>
  <c r="J308" i="1"/>
  <c r="J32" i="1"/>
  <c r="J33" i="1"/>
  <c r="J34" i="1"/>
  <c r="J35" i="1"/>
  <c r="J36" i="1"/>
  <c r="J248" i="1"/>
  <c r="J160" i="1"/>
  <c r="J37" i="1"/>
  <c r="J38" i="1"/>
  <c r="J249" i="1"/>
  <c r="J250" i="1"/>
  <c r="J131" i="1"/>
  <c r="J161" i="1"/>
  <c r="J251" i="1"/>
  <c r="J39" i="1"/>
  <c r="J214" i="1"/>
  <c r="J40" i="1"/>
  <c r="J162" i="1"/>
  <c r="J41" i="1"/>
  <c r="J133" i="1"/>
  <c r="J163" i="1"/>
  <c r="J164" i="1"/>
  <c r="J134" i="1"/>
  <c r="J135" i="1"/>
  <c r="J215" i="1"/>
  <c r="J165" i="1"/>
  <c r="J166" i="1"/>
  <c r="J148" i="1"/>
  <c r="J167" i="1"/>
  <c r="J168" i="1"/>
  <c r="J136" i="1"/>
  <c r="J137" i="1"/>
  <c r="J311" i="1"/>
  <c r="J138" i="1"/>
  <c r="J169" i="1"/>
  <c r="J170" i="1"/>
  <c r="J312" i="1"/>
  <c r="J313" i="1"/>
  <c r="J216" i="1"/>
  <c r="J217" i="1"/>
  <c r="J218" i="1"/>
  <c r="J171" i="1"/>
  <c r="J42" i="1"/>
  <c r="J172" i="1"/>
  <c r="J173" i="1"/>
  <c r="J43" i="1"/>
  <c r="J44" i="1"/>
  <c r="J314" i="1"/>
  <c r="J175" i="1"/>
  <c r="J252" i="1"/>
  <c r="J176" i="1"/>
  <c r="J45" i="1"/>
  <c r="J177" i="1"/>
  <c r="J46" i="1"/>
  <c r="J47" i="1"/>
  <c r="J178" i="1"/>
  <c r="J48" i="1"/>
  <c r="J179" i="1"/>
  <c r="J49" i="1"/>
  <c r="J50" i="1"/>
  <c r="J253" i="1"/>
  <c r="J51" i="1"/>
  <c r="J52" i="1"/>
  <c r="J254" i="1"/>
  <c r="J316" i="1"/>
  <c r="J53" i="1"/>
  <c r="J54" i="1"/>
  <c r="J219" i="1"/>
  <c r="J180" i="1"/>
  <c r="J317" i="1"/>
  <c r="J181" i="1"/>
  <c r="J182" i="1"/>
  <c r="J55" i="1"/>
  <c r="J183" i="1"/>
  <c r="J56" i="1"/>
  <c r="J318" i="1"/>
  <c r="J255" i="1"/>
  <c r="J184" i="1"/>
  <c r="J57" i="1"/>
  <c r="J220" i="1"/>
  <c r="J58" i="1"/>
  <c r="J319" i="1"/>
  <c r="J185" i="1"/>
  <c r="J256" i="1"/>
  <c r="J257" i="1"/>
  <c r="J258" i="1"/>
  <c r="J320" i="1"/>
  <c r="J59" i="1"/>
  <c r="J140" i="1"/>
  <c r="J149" i="1"/>
  <c r="J186" i="1"/>
  <c r="J321" i="1"/>
  <c r="J187" i="1"/>
  <c r="J221" i="1"/>
  <c r="J260" i="1"/>
  <c r="J261" i="1"/>
  <c r="J188" i="1"/>
  <c r="J189" i="1"/>
  <c r="J190" i="1"/>
  <c r="J191" i="1"/>
  <c r="J60" i="1"/>
  <c r="J262" i="1"/>
  <c r="J263" i="1"/>
  <c r="J142" i="1"/>
  <c r="J192" i="1"/>
  <c r="J193" i="1"/>
  <c r="J264" i="1"/>
  <c r="J194" i="1"/>
  <c r="J195" i="1"/>
  <c r="J265" i="1"/>
  <c r="J266" i="1"/>
  <c r="J61" i="1"/>
  <c r="J267" i="1"/>
  <c r="J325" i="1"/>
  <c r="J143" i="1"/>
  <c r="J196" i="1"/>
  <c r="J62" i="1"/>
  <c r="J63" i="1"/>
  <c r="J64" i="1"/>
  <c r="J268" i="1"/>
  <c r="J65" i="1"/>
  <c r="J66" i="1"/>
  <c r="J67" i="1"/>
  <c r="J269" i="1"/>
  <c r="J68" i="1"/>
  <c r="J270" i="1"/>
  <c r="J271" i="1"/>
  <c r="J272" i="1"/>
  <c r="J69" i="1"/>
  <c r="J70" i="1"/>
  <c r="J273" i="1"/>
  <c r="J274" i="1"/>
  <c r="J71" i="1"/>
  <c r="J72" i="1"/>
  <c r="J73" i="1"/>
  <c r="J275" i="1"/>
  <c r="J74" i="1"/>
  <c r="J276" i="1"/>
  <c r="J75" i="1"/>
  <c r="J277" i="1"/>
  <c r="J76" i="1"/>
  <c r="J77" i="1"/>
  <c r="J78" i="1"/>
  <c r="J278" i="1"/>
  <c r="J79" i="1"/>
  <c r="J80" i="1"/>
  <c r="J279" i="1"/>
  <c r="J280" i="1"/>
  <c r="J81" i="1"/>
  <c r="J281" i="1"/>
  <c r="J282" i="1"/>
  <c r="J82" i="1"/>
  <c r="J83" i="1"/>
  <c r="J84" i="1"/>
  <c r="J85" i="1"/>
  <c r="J86" i="1"/>
  <c r="J87" i="1"/>
  <c r="J88" i="1"/>
  <c r="J89" i="1"/>
  <c r="J90" i="1"/>
  <c r="J91" i="1"/>
  <c r="J92" i="1"/>
  <c r="J93" i="1"/>
  <c r="J283" i="1"/>
  <c r="J94" i="1"/>
  <c r="J95" i="1"/>
  <c r="J284" i="1"/>
  <c r="J285" i="1"/>
  <c r="J96" i="1"/>
  <c r="J97" i="1"/>
  <c r="J286" i="1"/>
  <c r="J198" i="1"/>
  <c r="J199" i="1"/>
  <c r="J200" i="1"/>
  <c r="J201" i="1"/>
  <c r="J287" i="1"/>
  <c r="J98" i="1"/>
  <c r="J288" i="1"/>
  <c r="J202" i="1"/>
  <c r="J203" i="1"/>
  <c r="J204" i="1"/>
  <c r="J99" i="1"/>
  <c r="J100" i="1"/>
  <c r="J101" i="1"/>
  <c r="J327" i="1"/>
  <c r="J328" i="1"/>
  <c r="J289" i="1"/>
  <c r="J102" i="1"/>
  <c r="J103" i="1"/>
  <c r="J205" i="1"/>
  <c r="J330" i="1"/>
  <c r="J331" i="1"/>
  <c r="J206" i="1"/>
  <c r="J145" i="1"/>
  <c r="J290" i="1"/>
  <c r="J104" i="1"/>
  <c r="J208" i="1"/>
  <c r="J105" i="1"/>
  <c r="J106" i="1"/>
  <c r="J107" i="1"/>
  <c r="J108" i="1"/>
  <c r="J109" i="1"/>
  <c r="J110" i="1"/>
  <c r="J111" i="1"/>
  <c r="J112" i="1"/>
  <c r="J113" i="1"/>
  <c r="J291" i="1"/>
  <c r="J209" i="1"/>
  <c r="J292" i="1"/>
  <c r="J146" i="1"/>
  <c r="J114" i="1"/>
  <c r="J293" i="1"/>
  <c r="J115" i="1"/>
  <c r="J116" i="1"/>
  <c r="J117" i="1"/>
  <c r="J118" i="1"/>
  <c r="J119" i="1"/>
  <c r="J294" i="1"/>
  <c r="J147" i="1"/>
  <c r="J120" i="1"/>
  <c r="J295" i="1"/>
  <c r="J296" i="1"/>
  <c r="J121" i="1"/>
  <c r="J122" i="1"/>
  <c r="J297" i="1"/>
  <c r="J210" i="1"/>
  <c r="J141" i="1"/>
  <c r="Q326" i="1" l="1"/>
  <c r="Q222" i="1"/>
  <c r="Q309" i="1"/>
  <c r="Q197" i="1"/>
  <c r="Q324" i="1"/>
  <c r="Q322" i="1"/>
  <c r="Q223" i="1"/>
  <c r="Q211" i="1"/>
  <c r="Q174" i="1"/>
  <c r="Q207" i="1"/>
  <c r="Q141" i="1"/>
  <c r="O259" i="1"/>
  <c r="O329" i="1"/>
  <c r="O197" i="1"/>
  <c r="O324" i="1"/>
  <c r="O322" i="1"/>
  <c r="O223" i="1"/>
  <c r="O298" i="1"/>
  <c r="O132" i="1"/>
  <c r="O125" i="1"/>
  <c r="O144" i="1"/>
  <c r="O323" i="1"/>
  <c r="O141" i="1"/>
  <c r="O174" i="1"/>
  <c r="O310" i="1"/>
  <c r="O326" i="1"/>
  <c r="O222" i="1"/>
  <c r="O309" i="1"/>
  <c r="O211" i="1"/>
  <c r="O207" i="1"/>
  <c r="H225" i="1" l="1"/>
  <c r="H226" i="1"/>
  <c r="H3" i="1"/>
  <c r="H4" i="1"/>
  <c r="H5" i="1"/>
  <c r="H227" i="1"/>
  <c r="H6" i="1"/>
  <c r="H7" i="1"/>
  <c r="H8" i="1"/>
  <c r="H228" i="1"/>
  <c r="H9" i="1"/>
  <c r="H229" i="1"/>
  <c r="H230" i="1"/>
  <c r="H10" i="1"/>
  <c r="H231" i="1"/>
  <c r="H11" i="1"/>
  <c r="H150" i="1"/>
  <c r="H12" i="1"/>
  <c r="H13" i="1"/>
  <c r="H151" i="1"/>
  <c r="H14" i="1"/>
  <c r="H232" i="1"/>
  <c r="H233" i="1"/>
  <c r="H234" i="1"/>
  <c r="H211" i="1"/>
  <c r="P211" i="1" s="1"/>
  <c r="H15" i="1"/>
  <c r="H235" i="1"/>
  <c r="H236" i="1"/>
  <c r="H237" i="1"/>
  <c r="H238" i="1"/>
  <c r="H16" i="1"/>
  <c r="H212" i="1"/>
  <c r="H239" i="1"/>
  <c r="H152" i="1"/>
  <c r="H240" i="1"/>
  <c r="H241" i="1"/>
  <c r="H242" i="1"/>
  <c r="H18" i="1"/>
  <c r="H19" i="1"/>
  <c r="H213" i="1"/>
  <c r="H153" i="1"/>
  <c r="H154" i="1"/>
  <c r="H155" i="1"/>
  <c r="H243" i="1"/>
  <c r="H156" i="1"/>
  <c r="H124" i="1"/>
  <c r="H244" i="1"/>
  <c r="H20" i="1"/>
  <c r="H157" i="1"/>
  <c r="H21" i="1"/>
  <c r="H245" i="1"/>
  <c r="H22" i="1"/>
  <c r="H23" i="1"/>
  <c r="H246" i="1"/>
  <c r="H24" i="1"/>
  <c r="H247" i="1"/>
  <c r="H25" i="1"/>
  <c r="H26" i="1"/>
  <c r="H128" i="1"/>
  <c r="H27" i="1"/>
  <c r="H158" i="1"/>
  <c r="H28" i="1"/>
  <c r="H29" i="1"/>
  <c r="H159" i="1"/>
  <c r="H30" i="1"/>
  <c r="H31" i="1"/>
  <c r="H32" i="1"/>
  <c r="H33" i="1"/>
  <c r="H34" i="1"/>
  <c r="H35" i="1"/>
  <c r="H36" i="1"/>
  <c r="H332" i="1"/>
  <c r="H248" i="1"/>
  <c r="H160" i="1"/>
  <c r="H37" i="1"/>
  <c r="H38" i="1"/>
  <c r="H249" i="1"/>
  <c r="H250" i="1"/>
  <c r="H161" i="1"/>
  <c r="H251" i="1"/>
  <c r="H39" i="1"/>
  <c r="H214" i="1"/>
  <c r="H40" i="1"/>
  <c r="H162" i="1"/>
  <c r="H41" i="1"/>
  <c r="H163" i="1"/>
  <c r="H164" i="1"/>
  <c r="H215" i="1"/>
  <c r="H165" i="1"/>
  <c r="H166" i="1"/>
  <c r="H148" i="1"/>
  <c r="H167" i="1"/>
  <c r="H168" i="1"/>
  <c r="H169" i="1"/>
  <c r="H170" i="1"/>
  <c r="H216" i="1"/>
  <c r="H217" i="1"/>
  <c r="H218" i="1"/>
  <c r="H171" i="1"/>
  <c r="H42" i="1"/>
  <c r="H172" i="1"/>
  <c r="H173" i="1"/>
  <c r="H43" i="1"/>
  <c r="H174" i="1"/>
  <c r="P174" i="1" s="1"/>
  <c r="H44" i="1"/>
  <c r="H175" i="1"/>
  <c r="H252" i="1"/>
  <c r="H176" i="1"/>
  <c r="H45" i="1"/>
  <c r="H177" i="1"/>
  <c r="H46" i="1"/>
  <c r="H47" i="1"/>
  <c r="H178" i="1"/>
  <c r="H48" i="1"/>
  <c r="H179" i="1"/>
  <c r="H49" i="1"/>
  <c r="H50" i="1"/>
  <c r="H253" i="1"/>
  <c r="H51" i="1"/>
  <c r="H52" i="1"/>
  <c r="H254" i="1"/>
  <c r="H53" i="1"/>
  <c r="H54" i="1"/>
  <c r="H219" i="1"/>
  <c r="H180" i="1"/>
  <c r="H181" i="1"/>
  <c r="H182" i="1"/>
  <c r="H55" i="1"/>
  <c r="H183" i="1"/>
  <c r="H56" i="1"/>
  <c r="H255" i="1"/>
  <c r="H184" i="1"/>
  <c r="H57" i="1"/>
  <c r="H220" i="1"/>
  <c r="H58" i="1"/>
  <c r="H185" i="1"/>
  <c r="H256" i="1"/>
  <c r="H257" i="1"/>
  <c r="H258" i="1"/>
  <c r="H59" i="1"/>
  <c r="H149" i="1"/>
  <c r="H186" i="1"/>
  <c r="H259" i="1"/>
  <c r="P259" i="1" s="1"/>
  <c r="H187" i="1"/>
  <c r="H221" i="1"/>
  <c r="H260" i="1"/>
  <c r="H261" i="1"/>
  <c r="H188" i="1"/>
  <c r="H189" i="1"/>
  <c r="H190" i="1"/>
  <c r="H191" i="1"/>
  <c r="H333" i="1"/>
  <c r="H60" i="1"/>
  <c r="H262" i="1"/>
  <c r="H263" i="1"/>
  <c r="H192" i="1"/>
  <c r="H193" i="1"/>
  <c r="H264" i="1"/>
  <c r="H194" i="1"/>
  <c r="H195" i="1"/>
  <c r="H265" i="1"/>
  <c r="H266" i="1"/>
  <c r="H61" i="1"/>
  <c r="H267" i="1"/>
  <c r="H196" i="1"/>
  <c r="H62" i="1"/>
  <c r="H63" i="1"/>
  <c r="H64" i="1"/>
  <c r="H268" i="1"/>
  <c r="H65" i="1"/>
  <c r="H66" i="1"/>
  <c r="H197" i="1"/>
  <c r="P197" i="1" s="1"/>
  <c r="H67" i="1"/>
  <c r="H269" i="1"/>
  <c r="H68" i="1"/>
  <c r="H270" i="1"/>
  <c r="H271" i="1"/>
  <c r="H272" i="1"/>
  <c r="H69" i="1"/>
  <c r="H70" i="1"/>
  <c r="H273" i="1"/>
  <c r="H274" i="1"/>
  <c r="H71" i="1"/>
  <c r="H72" i="1"/>
  <c r="H73" i="1"/>
  <c r="H275" i="1"/>
  <c r="H74" i="1"/>
  <c r="H276" i="1"/>
  <c r="H75" i="1"/>
  <c r="H277" i="1"/>
  <c r="H76" i="1"/>
  <c r="H77" i="1"/>
  <c r="H222" i="1"/>
  <c r="P222" i="1" s="1"/>
  <c r="H78" i="1"/>
  <c r="H278" i="1"/>
  <c r="H79" i="1"/>
  <c r="H80" i="1"/>
  <c r="H279" i="1"/>
  <c r="H280" i="1"/>
  <c r="H81" i="1"/>
  <c r="H281" i="1"/>
  <c r="H282" i="1"/>
  <c r="H82" i="1"/>
  <c r="H83" i="1"/>
  <c r="H84" i="1"/>
  <c r="H85" i="1"/>
  <c r="H86" i="1"/>
  <c r="H87" i="1"/>
  <c r="H88" i="1"/>
  <c r="H89" i="1"/>
  <c r="H90" i="1"/>
  <c r="H91" i="1"/>
  <c r="H92" i="1"/>
  <c r="H93" i="1"/>
  <c r="H283" i="1"/>
  <c r="H94" i="1"/>
  <c r="H334" i="1"/>
  <c r="H95" i="1"/>
  <c r="H284" i="1"/>
  <c r="H285" i="1"/>
  <c r="H96" i="1"/>
  <c r="H97" i="1"/>
  <c r="H286" i="1"/>
  <c r="H198" i="1"/>
  <c r="H199" i="1"/>
  <c r="H200" i="1"/>
  <c r="H201" i="1"/>
  <c r="H287" i="1"/>
  <c r="H98" i="1"/>
  <c r="H288" i="1"/>
  <c r="H202" i="1"/>
  <c r="H203" i="1"/>
  <c r="H204" i="1"/>
  <c r="H99" i="1"/>
  <c r="H100" i="1"/>
  <c r="H101" i="1"/>
  <c r="H289" i="1"/>
  <c r="H102" i="1"/>
  <c r="H103" i="1"/>
  <c r="H205" i="1"/>
  <c r="H335" i="1"/>
  <c r="H144" i="1"/>
  <c r="P144" i="1" s="1"/>
  <c r="H336" i="1"/>
  <c r="H206" i="1"/>
  <c r="H290" i="1"/>
  <c r="H104" i="1"/>
  <c r="H207" i="1"/>
  <c r="P207" i="1" s="1"/>
  <c r="H208" i="1"/>
  <c r="H105" i="1"/>
  <c r="H106" i="1"/>
  <c r="H107" i="1"/>
  <c r="H108" i="1"/>
  <c r="H109" i="1"/>
  <c r="H110" i="1"/>
  <c r="H111" i="1"/>
  <c r="H112" i="1"/>
  <c r="H113" i="1"/>
  <c r="H291" i="1"/>
  <c r="H209" i="1"/>
  <c r="H292" i="1"/>
  <c r="H223" i="1"/>
  <c r="P223" i="1" s="1"/>
  <c r="H114" i="1"/>
  <c r="H293" i="1"/>
  <c r="H115" i="1"/>
  <c r="H116" i="1"/>
  <c r="H117" i="1"/>
  <c r="H118" i="1"/>
  <c r="H119" i="1"/>
  <c r="H294" i="1"/>
  <c r="H120" i="1"/>
  <c r="H295" i="1"/>
  <c r="H296" i="1"/>
  <c r="H121" i="1"/>
  <c r="H122" i="1"/>
  <c r="H337" i="1"/>
  <c r="H297" i="1"/>
  <c r="H210" i="1"/>
  <c r="H224" i="1"/>
  <c r="H320" i="1"/>
  <c r="H142" i="1" l="1"/>
  <c r="H141" i="1"/>
  <c r="P141" i="1" s="1"/>
  <c r="H137" i="1"/>
  <c r="H143" i="1"/>
  <c r="H131" i="1"/>
  <c r="H140" i="1"/>
  <c r="H146" i="1"/>
  <c r="H138" i="1"/>
  <c r="H139" i="1"/>
  <c r="H145" i="1"/>
  <c r="H130" i="1"/>
  <c r="H129" i="1"/>
  <c r="H127" i="1"/>
  <c r="H133" i="1"/>
  <c r="H132" i="1"/>
  <c r="P132" i="1" s="1"/>
  <c r="H136" i="1"/>
  <c r="H135" i="1"/>
  <c r="H147" i="1"/>
  <c r="H134" i="1"/>
  <c r="H126" i="1"/>
  <c r="H123" i="1"/>
  <c r="H125" i="1"/>
  <c r="P125" i="1" s="1"/>
  <c r="H326" i="1"/>
  <c r="P326" i="1" s="1"/>
  <c r="H317" i="1"/>
  <c r="H301" i="1"/>
  <c r="H307" i="1"/>
  <c r="H324" i="1"/>
  <c r="P324" i="1" s="1"/>
  <c r="H309" i="1"/>
  <c r="P309" i="1" s="1"/>
  <c r="H312" i="1"/>
  <c r="H305" i="1"/>
  <c r="H319" i="1"/>
  <c r="H306" i="1"/>
  <c r="H316" i="1"/>
  <c r="H298" i="1"/>
  <c r="P298" i="1" s="1"/>
  <c r="H328" i="1"/>
  <c r="H313" i="1"/>
  <c r="H327" i="1"/>
  <c r="H322" i="1"/>
  <c r="P322" i="1" s="1"/>
  <c r="H314" i="1"/>
  <c r="H311" i="1"/>
  <c r="H302" i="1"/>
  <c r="H310" i="1"/>
  <c r="P310" i="1" s="1"/>
  <c r="H315" i="1"/>
  <c r="H331" i="1"/>
  <c r="H323" i="1"/>
  <c r="P323" i="1" s="1"/>
  <c r="H330" i="1"/>
  <c r="H321" i="1"/>
  <c r="H318" i="1"/>
  <c r="H304" i="1"/>
  <c r="H303" i="1"/>
  <c r="H300" i="1"/>
  <c r="H308" i="1"/>
  <c r="P329" i="1"/>
  <c r="H325" i="1"/>
  <c r="H299" i="1"/>
  <c r="A1" i="2" l="1" a="1"/>
  <c r="A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 Guo</author>
  </authors>
  <commentList>
    <comment ref="G2" authorId="0" shapeId="0" xr:uid="{9D867CAF-F9B7-49FE-83BC-BA48B46A3AA8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(S,MS,MRMS,MR,R)</t>
        </r>
      </text>
    </comment>
    <comment ref="I2" authorId="0" shapeId="0" xr:uid="{176B39E8-34F6-4325-AF4E-7439BC1FDEFF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converted at MRMS&gt; = 1, MRMS= &lt; = 0</t>
        </r>
      </text>
    </comment>
    <comment ref="J2" authorId="0" shapeId="0" xr:uid="{AABF7819-6ECD-439B-A4DE-597A216346EC}">
      <text>
        <r>
          <rPr>
            <b/>
            <sz val="9"/>
            <color indexed="81"/>
            <rFont val="Tahoma"/>
            <family val="2"/>
          </rPr>
          <t>Karina Guo:</t>
        </r>
        <r>
          <rPr>
            <sz val="9"/>
            <color indexed="81"/>
            <rFont val="Tahoma"/>
            <family val="2"/>
          </rPr>
          <t xml:space="preserve">
converted at MRMS=&gt; = 1, MRMS&lt; = 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<sst xmlns="http://schemas.openxmlformats.org/spreadsheetml/2006/main" count="1855" uniqueCount="132">
  <si>
    <t>IID</t>
  </si>
  <si>
    <t>Flecking (white)</t>
  </si>
  <si>
    <t>Chlorosis (red)</t>
  </si>
  <si>
    <t>Necrosis</t>
  </si>
  <si>
    <t>Active sporulation (restr./not restr.)</t>
  </si>
  <si>
    <t>Coverage</t>
  </si>
  <si>
    <t>Notes</t>
  </si>
  <si>
    <t>Imm. resp. (S,MS,MRMS,MR,R)</t>
  </si>
  <si>
    <t>MRMS</t>
  </si>
  <si>
    <t>HR</t>
  </si>
  <si>
    <t>HS</t>
  </si>
  <si>
    <t>R</t>
  </si>
  <si>
    <t>MR</t>
  </si>
  <si>
    <t>S</t>
  </si>
  <si>
    <t>MS</t>
  </si>
  <si>
    <t>Dead tip</t>
  </si>
  <si>
    <t>Dead</t>
  </si>
  <si>
    <t>No</t>
  </si>
  <si>
    <t>Yes</t>
  </si>
  <si>
    <t>Restricted</t>
  </si>
  <si>
    <t>Unrestricted</t>
  </si>
  <si>
    <t>Mix</t>
  </si>
  <si>
    <t>Minimal active spore colonies</t>
  </si>
  <si>
    <t>Two necrotic spots</t>
  </si>
  <si>
    <t>One active spore, no other responses</t>
  </si>
  <si>
    <t>Some colonies with no immune response</t>
  </si>
  <si>
    <t>Very limited sporulation</t>
  </si>
  <si>
    <t>Dead tip (caterpillar) - live tissue is clean</t>
  </si>
  <si>
    <t>Limited new growth</t>
  </si>
  <si>
    <t>Limited sporulation, limited immune response</t>
  </si>
  <si>
    <t>Limited immune response</t>
  </si>
  <si>
    <t>One spot</t>
  </si>
  <si>
    <t>Three active spore colonies</t>
  </si>
  <si>
    <t>Two active spore colonies</t>
  </si>
  <si>
    <t>Pests. Spores on branch</t>
  </si>
  <si>
    <t>One active spore colonies</t>
  </si>
  <si>
    <t>On branch, limited immune response</t>
  </si>
  <si>
    <t>Two spore colonies</t>
  </si>
  <si>
    <t>Limited actual spores</t>
  </si>
  <si>
    <t>One active spore colony, no immune response otherwise</t>
  </si>
  <si>
    <t>One active spore colony</t>
  </si>
  <si>
    <t>Multi active spore colonies, limited immune response on young leaves (chlorosis on more mature)</t>
  </si>
  <si>
    <t>Minimal immune response</t>
  </si>
  <si>
    <t>Multiple colonies</t>
  </si>
  <si>
    <t>One 1-spore colony</t>
  </si>
  <si>
    <t>Three colonies of 3-spores</t>
  </si>
  <si>
    <t>1 1-spore colony</t>
  </si>
  <si>
    <t>Unhealthy</t>
  </si>
  <si>
    <t>Kink. One active spore</t>
  </si>
  <si>
    <t>Limited immune response. Minimal spores</t>
  </si>
  <si>
    <t>Two spots</t>
  </si>
  <si>
    <t>Plenty of colonies of 1 spore</t>
  </si>
  <si>
    <t>1 chlorotic spot</t>
  </si>
  <si>
    <t>Bad chlorotic lesions, large</t>
  </si>
  <si>
    <t>No immune repsonse</t>
  </si>
  <si>
    <t>Some unrestricted colonies (3+) with no immune response</t>
  </si>
  <si>
    <t>1 active spore colony</t>
  </si>
  <si>
    <t>Limited immune response colonies</t>
  </si>
  <si>
    <t>Minor immune response</t>
  </si>
  <si>
    <t>1 colony. Minor chlorosis</t>
  </si>
  <si>
    <t>Limited immune response. Multi-spore (3+) colonies</t>
  </si>
  <si>
    <t>1 spot</t>
  </si>
  <si>
    <t>1 colony</t>
  </si>
  <si>
    <t>1 restricted spore colonies</t>
  </si>
  <si>
    <t>Unrestricted multi-spore colonies</t>
  </si>
  <si>
    <t>1 unrestricted colony</t>
  </si>
  <si>
    <t>1 colony, attempted spore penetration evident on branch</t>
  </si>
  <si>
    <t>On branch, limited immune response, distorted leaf shape from colony</t>
  </si>
  <si>
    <t>Bad necrosis</t>
  </si>
  <si>
    <t>Large chlorosis</t>
  </si>
  <si>
    <t>No immune response in some colonies</t>
  </si>
  <si>
    <t>On branch</t>
  </si>
  <si>
    <t>No immune response other than on mature leaves</t>
  </si>
  <si>
    <t>Large chlorotic lesions</t>
  </si>
  <si>
    <t>Kinks</t>
  </si>
  <si>
    <t>Unrestricted multi-spore colonies. Multi-spore colonies on branch</t>
  </si>
  <si>
    <t>Cluster but minimal sporulation</t>
  </si>
  <si>
    <t>1 fleck</t>
  </si>
  <si>
    <t>Spore colonies with no response</t>
  </si>
  <si>
    <t>Multi unrestricted colonies. On branch.</t>
  </si>
  <si>
    <t>Multi big colonies. On branch</t>
  </si>
  <si>
    <t>1 bigger colonies (7 spores)</t>
  </si>
  <si>
    <t>Couple chlorotic spots</t>
  </si>
  <si>
    <t>3 single spore colonies</t>
  </si>
  <si>
    <t>No growth tip</t>
  </si>
  <si>
    <t>2 restricted colonies</t>
  </si>
  <si>
    <t>1 unrestricted colony (3++). Colony with no immune response</t>
  </si>
  <si>
    <t>Lack of immune response</t>
  </si>
  <si>
    <t>13 colonies total, 1-3 spores</t>
  </si>
  <si>
    <t>Restricted colonies (1-3 spores). Large chlorotic</t>
  </si>
  <si>
    <t>2 single spore colonies. On branch</t>
  </si>
  <si>
    <t>No growth tip.</t>
  </si>
  <si>
    <t>1 spore colony</t>
  </si>
  <si>
    <t>Multi spore colonies (3+)</t>
  </si>
  <si>
    <t>Possibly not rust caused response</t>
  </si>
  <si>
    <t>Restricted, limited colonies</t>
  </si>
  <si>
    <t>Few unrestricted colonies</t>
  </si>
  <si>
    <t>Kink</t>
  </si>
  <si>
    <t>Scored on 17/2/25. Inoculated on 2/2/25</t>
  </si>
  <si>
    <t>COI scores</t>
  </si>
  <si>
    <t>3+C</t>
  </si>
  <si>
    <t>No new leaves infected</t>
  </si>
  <si>
    <t>Karans</t>
  </si>
  <si>
    <t>Orig Scoring scheme</t>
  </si>
  <si>
    <t>Imm resp</t>
  </si>
  <si>
    <t>3+</t>
  </si>
  <si>
    <t>Infection on new leaves</t>
  </si>
  <si>
    <t>33+</t>
  </si>
  <si>
    <t>MSS</t>
  </si>
  <si>
    <t>1+C</t>
  </si>
  <si>
    <t>3C</t>
  </si>
  <si>
    <t>Bit of pustules more than 1</t>
  </si>
  <si>
    <t>1 pustule - but only one</t>
  </si>
  <si>
    <t>3CN</t>
  </si>
  <si>
    <t>Restricted but pigger therefore score of 3</t>
  </si>
  <si>
    <t>1C</t>
  </si>
  <si>
    <t>Highly restricted pustule</t>
  </si>
  <si>
    <t>Chlorosis on older leaves (some IR) only on older leaves</t>
  </si>
  <si>
    <t>33+C</t>
  </si>
  <si>
    <t>C</t>
  </si>
  <si>
    <t>No active sporulation</t>
  </si>
  <si>
    <t>No immune response</t>
  </si>
  <si>
    <t>Personal COI</t>
  </si>
  <si>
    <t>Karans COI</t>
  </si>
  <si>
    <t>HRR</t>
  </si>
  <si>
    <t>Multiplicative factor</t>
  </si>
  <si>
    <t>COI - if no coverage score was given, use personal</t>
  </si>
  <si>
    <t>Difference in COI (Mine-Karans)</t>
  </si>
  <si>
    <t>Difference in coverage score</t>
  </si>
  <si>
    <t>Imm. resp.</t>
  </si>
  <si>
    <t>Binary_MRMS</t>
  </si>
  <si>
    <t>Binary_MS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</si>
</sst>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EFEF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rgb="FFFCE7DC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0" fillId="3" borderId="2" xfId="0" applyFill="1" applyBorder="1"/>
    <xf numFmtId="0" fontId="0" fillId="2" borderId="2" xfId="0" applyFill="1" applyBorder="1"/>
    <xf numFmtId="0" fontId="0" fillId="4" borderId="2" xfId="0" applyFill="1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0" fillId="2" borderId="7" xfId="0" applyFill="1" applyBorder="1"/>
    <xf numFmtId="0" fontId="0" fillId="4" borderId="7" xfId="0" applyFill="1" applyBorder="1"/>
    <xf numFmtId="0" fontId="0" fillId="0" borderId="3" xfId="0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/>
    <xf numFmtId="0" fontId="0" fillId="6" borderId="5" xfId="0" applyFill="1" applyBorder="1"/>
    <xf numFmtId="0" fontId="0" fillId="6" borderId="9" xfId="0" applyFill="1" applyBorder="1"/>
    <xf numFmtId="0" fontId="0" fillId="6" borderId="0" xfId="0" applyFill="1"/>
    <xf numFmtId="0" fontId="0" fillId="0" borderId="17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 applyAlignment="1">
      <alignment horizontal="center" vertical="center" wrapText="1"/>
    </xf>
    <xf numFmtId="0" fontId="0" fillId="0" borderId="23" xfId="0" applyBorder="1"/>
    <xf numFmtId="0" fontId="0" fillId="6" borderId="23" xfId="0" applyFill="1" applyBorder="1"/>
    <xf numFmtId="0" fontId="0" fillId="0" borderId="24" xfId="0" applyBorder="1"/>
    <xf numFmtId="0" fontId="0" fillId="0" borderId="25" xfId="0" applyBorder="1"/>
    <xf numFmtId="0" fontId="0" fillId="6" borderId="1" xfId="0" applyFill="1" applyBorder="1"/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0" borderId="28" xfId="0" applyBorder="1" applyAlignment="1">
      <alignment horizontal="center" vertical="center" wrapText="1"/>
    </xf>
    <xf numFmtId="0" fontId="0" fillId="0" borderId="29" xfId="0" applyBorder="1"/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1">
    <cellStyle name="Normal" xfId="0" builtinId="0"/>
  </cellStyles>
  <dxfs count="7">
    <dxf>
      <font>
        <color theme="8" tint="-0.24994659260841701"/>
      </font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theme="3" tint="0.2499465926084170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E1"/>
      <color rgb="FFFCE7DC"/>
      <color rgb="FFFFEFEF"/>
      <color rgb="FFFEFAF8"/>
      <color rgb="FFF5F9FD"/>
      <color rgb="FFFFE1E1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3156-1E83-4F07-9365-66CC0D3DBB01}">
  <dimension ref="A1:W389"/>
  <sheetViews>
    <sheetView tabSelected="1" topLeftCell="A235" zoomScale="84" workbookViewId="0">
      <selection activeCell="I250" sqref="I250"/>
    </sheetView>
  </sheetViews>
  <sheetFormatPr defaultRowHeight="14.5" x14ac:dyDescent="0.35"/>
  <cols>
    <col min="1" max="1" width="8.7265625" style="1"/>
    <col min="2" max="2" width="7.7265625" style="3" customWidth="1"/>
    <col min="3" max="3" width="8.26953125" style="2" customWidth="1"/>
    <col min="4" max="4" width="8.26953125" style="4" customWidth="1"/>
    <col min="5" max="5" width="15.26953125" style="25" customWidth="1"/>
    <col min="6" max="6" width="8.7265625" style="23"/>
    <col min="7" max="7" width="17.36328125" style="19" customWidth="1"/>
    <col min="8" max="10" width="17.36328125" style="34" customWidth="1"/>
    <col min="11" max="11" width="52.1796875" style="41" customWidth="1"/>
    <col min="12" max="12" width="17.54296875" style="9" bestFit="1" customWidth="1"/>
    <col min="13" max="13" width="8.7265625" style="1"/>
    <col min="14" max="14" width="17.36328125" style="1" customWidth="1"/>
    <col min="15" max="15" width="22.453125" style="1" bestFit="1" customWidth="1"/>
    <col min="16" max="17" width="22.453125" style="19" customWidth="1"/>
    <col min="18" max="18" width="48.90625" style="49" bestFit="1" customWidth="1"/>
    <col min="20" max="20" width="16.453125" bestFit="1" customWidth="1"/>
    <col min="21" max="21" width="17" bestFit="1" customWidth="1"/>
  </cols>
  <sheetData>
    <row r="1" spans="1:23" ht="15" thickBot="1" x14ac:dyDescent="0.4">
      <c r="A1" s="50" t="s">
        <v>98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3" t="s">
        <v>102</v>
      </c>
      <c r="M1" s="54"/>
      <c r="N1" s="54"/>
      <c r="O1" s="54"/>
      <c r="P1" s="54"/>
      <c r="Q1" s="54"/>
      <c r="R1" s="55"/>
      <c r="T1" s="51" t="s">
        <v>122</v>
      </c>
      <c r="U1" s="51"/>
      <c r="V1" s="52" t="s">
        <v>123</v>
      </c>
      <c r="W1" s="52"/>
    </row>
    <row r="2" spans="1:23" ht="35.5" customHeight="1" x14ac:dyDescent="0.35">
      <c r="A2" s="14" t="s">
        <v>0</v>
      </c>
      <c r="B2" s="15" t="s">
        <v>1</v>
      </c>
      <c r="C2" s="16" t="s">
        <v>2</v>
      </c>
      <c r="D2" s="17" t="s">
        <v>3</v>
      </c>
      <c r="E2" s="24" t="s">
        <v>4</v>
      </c>
      <c r="F2" s="28" t="s">
        <v>5</v>
      </c>
      <c r="G2" s="18" t="s">
        <v>129</v>
      </c>
      <c r="H2" s="33" t="s">
        <v>99</v>
      </c>
      <c r="I2" s="33" t="s">
        <v>131</v>
      </c>
      <c r="J2" s="33" t="s">
        <v>130</v>
      </c>
      <c r="K2" s="40" t="s">
        <v>6</v>
      </c>
      <c r="L2" s="14" t="s">
        <v>103</v>
      </c>
      <c r="M2" s="46" t="s">
        <v>5</v>
      </c>
      <c r="N2" s="47" t="s">
        <v>104</v>
      </c>
      <c r="O2" s="46" t="s">
        <v>126</v>
      </c>
      <c r="P2" s="18" t="s">
        <v>127</v>
      </c>
      <c r="Q2" s="18" t="s">
        <v>128</v>
      </c>
      <c r="R2" s="48" t="s">
        <v>6</v>
      </c>
      <c r="S2" s="37"/>
      <c r="T2" s="38" t="s">
        <v>7</v>
      </c>
      <c r="U2" s="1" t="s">
        <v>125</v>
      </c>
    </row>
    <row r="3" spans="1:23" ht="18" customHeight="1" x14ac:dyDescent="0.35">
      <c r="A3" s="9">
        <v>5</v>
      </c>
      <c r="B3" t="s">
        <v>17</v>
      </c>
      <c r="C3" t="s">
        <v>17</v>
      </c>
      <c r="D3" t="s">
        <v>17</v>
      </c>
      <c r="E3" t="s">
        <v>17</v>
      </c>
      <c r="F3" s="23">
        <v>0</v>
      </c>
      <c r="G3" s="19" t="s">
        <v>9</v>
      </c>
      <c r="H3" s="34">
        <f>INDEX(U:U, MATCH(G3, T:T, 0))*F3</f>
        <v>0</v>
      </c>
      <c r="I3" s="34">
        <f t="shared" ref="I3:I66" si="0">IF(COUNTIF($T$3:$T$6, G3) &gt; 0, 0, 1)</f>
        <v>0</v>
      </c>
      <c r="J3" s="34">
        <f t="shared" ref="J3:J66" si="1">IF(COUNTIF(T$3:T$5, G3) &gt; 0, 0, 1)</f>
        <v>0</v>
      </c>
      <c r="T3" s="1" t="s">
        <v>9</v>
      </c>
      <c r="U3" s="1">
        <v>0</v>
      </c>
      <c r="V3" s="1" t="s">
        <v>9</v>
      </c>
      <c r="W3" s="1">
        <v>0</v>
      </c>
    </row>
    <row r="4" spans="1:23" ht="18" customHeight="1" x14ac:dyDescent="0.35">
      <c r="A4" s="9">
        <v>6</v>
      </c>
      <c r="B4" t="s">
        <v>17</v>
      </c>
      <c r="C4" t="s">
        <v>17</v>
      </c>
      <c r="D4" t="s">
        <v>17</v>
      </c>
      <c r="E4" t="s">
        <v>17</v>
      </c>
      <c r="F4" s="23">
        <v>0</v>
      </c>
      <c r="G4" s="19" t="s">
        <v>9</v>
      </c>
      <c r="H4" s="34">
        <f>INDEX(U:U, MATCH(G4, T:T, 0))*F4</f>
        <v>0</v>
      </c>
      <c r="I4" s="34">
        <f t="shared" si="0"/>
        <v>0</v>
      </c>
      <c r="J4" s="34">
        <f t="shared" si="1"/>
        <v>0</v>
      </c>
      <c r="T4" s="1" t="s">
        <v>11</v>
      </c>
      <c r="U4" s="1">
        <v>0.25</v>
      </c>
      <c r="V4" s="1" t="s">
        <v>124</v>
      </c>
      <c r="W4" s="1">
        <v>0</v>
      </c>
    </row>
    <row r="5" spans="1:23" ht="18" customHeight="1" x14ac:dyDescent="0.35">
      <c r="A5" s="9">
        <v>7</v>
      </c>
      <c r="B5" t="s">
        <v>17</v>
      </c>
      <c r="C5" t="s">
        <v>17</v>
      </c>
      <c r="D5" t="s">
        <v>17</v>
      </c>
      <c r="E5" t="s">
        <v>17</v>
      </c>
      <c r="F5" s="23">
        <v>0</v>
      </c>
      <c r="G5" s="19" t="s">
        <v>9</v>
      </c>
      <c r="H5" s="34">
        <f>INDEX(U:U, MATCH(G5, T:T, 0))*F5</f>
        <v>0</v>
      </c>
      <c r="I5" s="34">
        <f t="shared" si="0"/>
        <v>0</v>
      </c>
      <c r="J5" s="34">
        <f t="shared" si="1"/>
        <v>0</v>
      </c>
      <c r="T5" s="1" t="s">
        <v>8</v>
      </c>
      <c r="U5" s="1">
        <v>0.5</v>
      </c>
      <c r="V5" s="1" t="s">
        <v>11</v>
      </c>
      <c r="W5" s="1">
        <v>0.15</v>
      </c>
    </row>
    <row r="6" spans="1:23" ht="18" customHeight="1" x14ac:dyDescent="0.35">
      <c r="A6" s="9">
        <v>9</v>
      </c>
      <c r="B6" t="s">
        <v>17</v>
      </c>
      <c r="C6" t="s">
        <v>17</v>
      </c>
      <c r="D6" t="s">
        <v>17</v>
      </c>
      <c r="E6" t="s">
        <v>17</v>
      </c>
      <c r="F6" s="23">
        <v>0</v>
      </c>
      <c r="G6" s="19" t="s">
        <v>9</v>
      </c>
      <c r="H6" s="34">
        <f>INDEX(U:U, MATCH(G6, T:T, 0))*F6</f>
        <v>0</v>
      </c>
      <c r="I6" s="34">
        <f t="shared" si="0"/>
        <v>0</v>
      </c>
      <c r="J6" s="34">
        <f t="shared" si="1"/>
        <v>0</v>
      </c>
      <c r="T6" s="1" t="s">
        <v>14</v>
      </c>
      <c r="U6" s="1">
        <v>0.75</v>
      </c>
      <c r="V6" s="1" t="s">
        <v>12</v>
      </c>
      <c r="W6" s="1">
        <v>0.3</v>
      </c>
    </row>
    <row r="7" spans="1:23" ht="18" customHeight="1" x14ac:dyDescent="0.35">
      <c r="A7" s="9">
        <v>10</v>
      </c>
      <c r="B7" t="s">
        <v>17</v>
      </c>
      <c r="C7" t="s">
        <v>17</v>
      </c>
      <c r="D7" t="s">
        <v>17</v>
      </c>
      <c r="E7" t="s">
        <v>17</v>
      </c>
      <c r="F7" s="23">
        <v>0</v>
      </c>
      <c r="G7" s="19" t="s">
        <v>9</v>
      </c>
      <c r="H7" s="34">
        <f>INDEX(U:U, MATCH(G7, T:T, 0))*F7</f>
        <v>0</v>
      </c>
      <c r="I7" s="34">
        <f t="shared" si="0"/>
        <v>0</v>
      </c>
      <c r="J7" s="34">
        <f t="shared" si="1"/>
        <v>0</v>
      </c>
      <c r="T7" s="1" t="s">
        <v>13</v>
      </c>
      <c r="U7" s="1">
        <f>0.75+0.125</f>
        <v>0.875</v>
      </c>
      <c r="V7" s="1" t="s">
        <v>8</v>
      </c>
      <c r="W7" s="1">
        <v>0.45</v>
      </c>
    </row>
    <row r="8" spans="1:23" ht="18" customHeight="1" x14ac:dyDescent="0.35">
      <c r="A8" s="9">
        <v>16</v>
      </c>
      <c r="B8" t="s">
        <v>17</v>
      </c>
      <c r="C8" t="s">
        <v>17</v>
      </c>
      <c r="D8" t="s">
        <v>17</v>
      </c>
      <c r="E8" t="s">
        <v>17</v>
      </c>
      <c r="F8" s="23">
        <v>0</v>
      </c>
      <c r="G8" s="19" t="s">
        <v>9</v>
      </c>
      <c r="H8" s="34">
        <f>INDEX(U:U, MATCH(G8, T:T, 0))*F8</f>
        <v>0</v>
      </c>
      <c r="I8" s="34">
        <f t="shared" si="0"/>
        <v>0</v>
      </c>
      <c r="J8" s="34">
        <f t="shared" si="1"/>
        <v>0</v>
      </c>
      <c r="T8" s="1" t="s">
        <v>10</v>
      </c>
      <c r="U8" s="1">
        <v>1</v>
      </c>
      <c r="V8" s="1" t="s">
        <v>14</v>
      </c>
      <c r="W8" s="1">
        <v>0.6</v>
      </c>
    </row>
    <row r="9" spans="1:23" ht="18" customHeight="1" x14ac:dyDescent="0.35">
      <c r="A9" s="9">
        <v>23</v>
      </c>
      <c r="B9" t="s">
        <v>17</v>
      </c>
      <c r="C9" t="s">
        <v>17</v>
      </c>
      <c r="D9" t="s">
        <v>17</v>
      </c>
      <c r="E9" t="s">
        <v>17</v>
      </c>
      <c r="F9" s="23">
        <v>0</v>
      </c>
      <c r="G9" s="19" t="s">
        <v>9</v>
      </c>
      <c r="H9" s="34">
        <f>INDEX(U:U, MATCH(G9, T:T, 0))*F9</f>
        <v>0</v>
      </c>
      <c r="I9" s="34">
        <f t="shared" si="0"/>
        <v>0</v>
      </c>
      <c r="J9" s="34">
        <f t="shared" si="1"/>
        <v>0</v>
      </c>
      <c r="T9" s="1"/>
      <c r="U9" s="1"/>
      <c r="V9" s="1" t="s">
        <v>108</v>
      </c>
      <c r="W9" s="1">
        <v>0.75</v>
      </c>
    </row>
    <row r="10" spans="1:23" ht="18" customHeight="1" x14ac:dyDescent="0.35">
      <c r="A10" s="9">
        <v>26</v>
      </c>
      <c r="B10" t="s">
        <v>17</v>
      </c>
      <c r="C10" t="s">
        <v>17</v>
      </c>
      <c r="D10" t="s">
        <v>17</v>
      </c>
      <c r="E10" t="s">
        <v>17</v>
      </c>
      <c r="F10" s="23">
        <v>0</v>
      </c>
      <c r="G10" s="19" t="s">
        <v>9</v>
      </c>
      <c r="H10" s="34">
        <f>INDEX(U:U, MATCH(G10, T:T, 0))*F10</f>
        <v>0</v>
      </c>
      <c r="I10" s="34">
        <f t="shared" si="0"/>
        <v>0</v>
      </c>
      <c r="J10" s="34">
        <f t="shared" si="1"/>
        <v>0</v>
      </c>
      <c r="T10" s="1"/>
      <c r="U10" s="1"/>
      <c r="V10" s="1" t="s">
        <v>13</v>
      </c>
      <c r="W10" s="1">
        <v>1</v>
      </c>
    </row>
    <row r="11" spans="1:23" ht="18" customHeight="1" x14ac:dyDescent="0.35">
      <c r="A11" s="9">
        <v>29</v>
      </c>
      <c r="B11" t="s">
        <v>17</v>
      </c>
      <c r="C11" t="s">
        <v>17</v>
      </c>
      <c r="D11" t="s">
        <v>17</v>
      </c>
      <c r="E11" t="s">
        <v>17</v>
      </c>
      <c r="F11" s="23">
        <v>0</v>
      </c>
      <c r="G11" s="19" t="s">
        <v>9</v>
      </c>
      <c r="H11" s="34">
        <f>INDEX(U:U, MATCH(G11, T:T, 0))*F11</f>
        <v>0</v>
      </c>
      <c r="I11" s="34">
        <f t="shared" si="0"/>
        <v>0</v>
      </c>
      <c r="J11" s="34">
        <f t="shared" si="1"/>
        <v>0</v>
      </c>
      <c r="V11" s="39" t="s">
        <v>10</v>
      </c>
      <c r="W11" s="39">
        <v>1</v>
      </c>
    </row>
    <row r="12" spans="1:23" ht="18" customHeight="1" x14ac:dyDescent="0.35">
      <c r="A12" s="9">
        <v>42</v>
      </c>
      <c r="B12" t="s">
        <v>17</v>
      </c>
      <c r="C12" t="s">
        <v>17</v>
      </c>
      <c r="D12" t="s">
        <v>17</v>
      </c>
      <c r="E12" t="s">
        <v>17</v>
      </c>
      <c r="F12" s="23">
        <v>0</v>
      </c>
      <c r="G12" s="19" t="s">
        <v>9</v>
      </c>
      <c r="H12" s="34">
        <f>INDEX(U:U, MATCH(G12, T:T, 0))*F12</f>
        <v>0</v>
      </c>
      <c r="I12" s="34">
        <f t="shared" si="0"/>
        <v>0</v>
      </c>
      <c r="J12" s="34">
        <f t="shared" si="1"/>
        <v>0</v>
      </c>
    </row>
    <row r="13" spans="1:23" ht="18" customHeight="1" x14ac:dyDescent="0.35">
      <c r="A13" s="9">
        <v>45</v>
      </c>
      <c r="B13" t="s">
        <v>17</v>
      </c>
      <c r="C13" t="s">
        <v>17</v>
      </c>
      <c r="D13" t="s">
        <v>17</v>
      </c>
      <c r="E13" t="s">
        <v>17</v>
      </c>
      <c r="F13" s="23">
        <v>0</v>
      </c>
      <c r="G13" s="19" t="s">
        <v>9</v>
      </c>
      <c r="H13" s="34">
        <f>INDEX(U:U, MATCH(G13, T:T, 0))*F13</f>
        <v>0</v>
      </c>
      <c r="I13" s="34">
        <f t="shared" si="0"/>
        <v>0</v>
      </c>
      <c r="J13" s="34">
        <f t="shared" si="1"/>
        <v>0</v>
      </c>
    </row>
    <row r="14" spans="1:23" ht="18" customHeight="1" x14ac:dyDescent="0.35">
      <c r="A14" s="9">
        <v>47</v>
      </c>
      <c r="B14" t="s">
        <v>17</v>
      </c>
      <c r="C14" t="s">
        <v>17</v>
      </c>
      <c r="D14" t="s">
        <v>17</v>
      </c>
      <c r="E14" t="s">
        <v>17</v>
      </c>
      <c r="F14" s="23">
        <v>0</v>
      </c>
      <c r="G14" s="19" t="s">
        <v>9</v>
      </c>
      <c r="H14" s="34">
        <f>INDEX(U:U, MATCH(G14, T:T, 0))*F14</f>
        <v>0</v>
      </c>
      <c r="I14" s="34">
        <f t="shared" si="0"/>
        <v>0</v>
      </c>
      <c r="J14" s="34">
        <f t="shared" si="1"/>
        <v>0</v>
      </c>
    </row>
    <row r="15" spans="1:23" ht="18" customHeight="1" x14ac:dyDescent="0.35">
      <c r="A15" s="9">
        <v>64</v>
      </c>
      <c r="B15" t="s">
        <v>17</v>
      </c>
      <c r="C15" t="s">
        <v>17</v>
      </c>
      <c r="D15" t="s">
        <v>17</v>
      </c>
      <c r="E15" t="s">
        <v>17</v>
      </c>
      <c r="F15" s="23">
        <v>0</v>
      </c>
      <c r="G15" s="19" t="s">
        <v>9</v>
      </c>
      <c r="H15" s="34">
        <f>INDEX(U:U, MATCH(G15, T:T, 0))*F15</f>
        <v>0</v>
      </c>
      <c r="I15" s="34">
        <f t="shared" si="0"/>
        <v>0</v>
      </c>
      <c r="J15" s="34">
        <f t="shared" si="1"/>
        <v>0</v>
      </c>
    </row>
    <row r="16" spans="1:23" ht="18" customHeight="1" x14ac:dyDescent="0.35">
      <c r="A16" s="9">
        <v>78</v>
      </c>
      <c r="B16" t="s">
        <v>17</v>
      </c>
      <c r="C16" t="s">
        <v>17</v>
      </c>
      <c r="D16" t="s">
        <v>17</v>
      </c>
      <c r="E16" t="s">
        <v>17</v>
      </c>
      <c r="F16" s="23">
        <v>0</v>
      </c>
      <c r="G16" s="19" t="s">
        <v>9</v>
      </c>
      <c r="H16" s="34">
        <f>INDEX(U:U, MATCH(G16, T:T, 0))*F16</f>
        <v>0</v>
      </c>
      <c r="I16" s="34">
        <f t="shared" si="0"/>
        <v>0</v>
      </c>
      <c r="J16" s="34">
        <f t="shared" si="1"/>
        <v>0</v>
      </c>
      <c r="K16" s="41" t="s">
        <v>27</v>
      </c>
    </row>
    <row r="17" spans="1:11" ht="18" customHeight="1" x14ac:dyDescent="0.35">
      <c r="A17" s="30">
        <v>96</v>
      </c>
      <c r="B17" t="s">
        <v>17</v>
      </c>
      <c r="C17" t="s">
        <v>17</v>
      </c>
      <c r="D17" t="s">
        <v>17</v>
      </c>
      <c r="E17" t="s">
        <v>17</v>
      </c>
      <c r="F17" s="23">
        <v>0</v>
      </c>
      <c r="G17" s="19" t="s">
        <v>9</v>
      </c>
      <c r="H17" s="34">
        <f>INDEX(U:U, MATCH(G17, T:T, 0))*F17</f>
        <v>0</v>
      </c>
      <c r="I17" s="34">
        <f t="shared" si="0"/>
        <v>0</v>
      </c>
      <c r="J17" s="34">
        <f t="shared" si="1"/>
        <v>0</v>
      </c>
      <c r="K17" s="42"/>
    </row>
    <row r="18" spans="1:11" ht="18" customHeight="1" x14ac:dyDescent="0.35">
      <c r="A18" s="9">
        <v>98</v>
      </c>
      <c r="B18" t="s">
        <v>17</v>
      </c>
      <c r="C18" t="s">
        <v>17</v>
      </c>
      <c r="D18" t="s">
        <v>17</v>
      </c>
      <c r="E18" t="s">
        <v>17</v>
      </c>
      <c r="F18" s="23">
        <v>0</v>
      </c>
      <c r="G18" s="19" t="s">
        <v>9</v>
      </c>
      <c r="H18" s="34">
        <f>INDEX(U:U, MATCH(G18, T:T, 0))*F18</f>
        <v>0</v>
      </c>
      <c r="I18" s="34">
        <f t="shared" si="0"/>
        <v>0</v>
      </c>
      <c r="J18" s="34">
        <f t="shared" si="1"/>
        <v>0</v>
      </c>
    </row>
    <row r="19" spans="1:11" ht="18" customHeight="1" x14ac:dyDescent="0.35">
      <c r="A19" s="9">
        <v>99</v>
      </c>
      <c r="B19" t="s">
        <v>17</v>
      </c>
      <c r="C19" t="s">
        <v>17</v>
      </c>
      <c r="D19" t="s">
        <v>17</v>
      </c>
      <c r="E19" t="s">
        <v>17</v>
      </c>
      <c r="F19" s="23">
        <v>0</v>
      </c>
      <c r="G19" s="19" t="s">
        <v>9</v>
      </c>
      <c r="H19" s="34">
        <f>INDEX(U:U, MATCH(G19, T:T, 0))*F19</f>
        <v>0</v>
      </c>
      <c r="I19" s="34">
        <f t="shared" si="0"/>
        <v>0</v>
      </c>
      <c r="J19" s="34">
        <f t="shared" si="1"/>
        <v>0</v>
      </c>
    </row>
    <row r="20" spans="1:11" ht="18" customHeight="1" x14ac:dyDescent="0.35">
      <c r="A20" s="9">
        <v>123</v>
      </c>
      <c r="B20" t="s">
        <v>17</v>
      </c>
      <c r="C20" t="s">
        <v>17</v>
      </c>
      <c r="D20" t="s">
        <v>17</v>
      </c>
      <c r="E20" t="s">
        <v>17</v>
      </c>
      <c r="F20" s="23">
        <v>0</v>
      </c>
      <c r="G20" s="19" t="s">
        <v>9</v>
      </c>
      <c r="H20" s="34">
        <f>INDEX(U:U, MATCH(G20, T:T, 0))*F20</f>
        <v>0</v>
      </c>
      <c r="I20" s="34">
        <f t="shared" si="0"/>
        <v>0</v>
      </c>
      <c r="J20" s="34">
        <f t="shared" si="1"/>
        <v>0</v>
      </c>
      <c r="K20" s="41" t="s">
        <v>91</v>
      </c>
    </row>
    <row r="21" spans="1:11" ht="18" customHeight="1" x14ac:dyDescent="0.35">
      <c r="A21" s="9">
        <v>136</v>
      </c>
      <c r="B21" t="s">
        <v>17</v>
      </c>
      <c r="C21" t="s">
        <v>17</v>
      </c>
      <c r="D21" t="s">
        <v>17</v>
      </c>
      <c r="E21" t="s">
        <v>17</v>
      </c>
      <c r="F21" s="23">
        <v>0</v>
      </c>
      <c r="G21" s="19" t="s">
        <v>9</v>
      </c>
      <c r="H21" s="34">
        <f>INDEX(U:U, MATCH(G21, T:T, 0))*F21</f>
        <v>0</v>
      </c>
      <c r="I21" s="34">
        <f t="shared" si="0"/>
        <v>0</v>
      </c>
      <c r="J21" s="34">
        <f t="shared" si="1"/>
        <v>0</v>
      </c>
    </row>
    <row r="22" spans="1:11" ht="18" customHeight="1" x14ac:dyDescent="0.35">
      <c r="A22" s="9">
        <v>143</v>
      </c>
      <c r="B22" t="s">
        <v>17</v>
      </c>
      <c r="C22" t="s">
        <v>17</v>
      </c>
      <c r="D22" t="s">
        <v>17</v>
      </c>
      <c r="E22" t="s">
        <v>17</v>
      </c>
      <c r="F22" s="23">
        <v>0</v>
      </c>
      <c r="G22" s="19" t="s">
        <v>9</v>
      </c>
      <c r="H22" s="34">
        <f>INDEX(U:U, MATCH(G22, T:T, 0))*F22</f>
        <v>0</v>
      </c>
      <c r="I22" s="34">
        <f t="shared" si="0"/>
        <v>0</v>
      </c>
      <c r="J22" s="34">
        <f t="shared" si="1"/>
        <v>0</v>
      </c>
    </row>
    <row r="23" spans="1:11" ht="18" customHeight="1" x14ac:dyDescent="0.35">
      <c r="A23" s="9">
        <v>144</v>
      </c>
      <c r="B23" t="s">
        <v>17</v>
      </c>
      <c r="C23" t="s">
        <v>17</v>
      </c>
      <c r="D23" t="s">
        <v>17</v>
      </c>
      <c r="E23" t="s">
        <v>17</v>
      </c>
      <c r="F23" s="23">
        <v>0</v>
      </c>
      <c r="G23" s="19" t="s">
        <v>9</v>
      </c>
      <c r="H23" s="34">
        <f>INDEX(U:U, MATCH(G23, T:T, 0))*F23</f>
        <v>0</v>
      </c>
      <c r="I23" s="34">
        <f t="shared" si="0"/>
        <v>0</v>
      </c>
      <c r="J23" s="34">
        <f t="shared" si="1"/>
        <v>0</v>
      </c>
    </row>
    <row r="24" spans="1:11" ht="18" customHeight="1" x14ac:dyDescent="0.35">
      <c r="A24" s="9">
        <v>151</v>
      </c>
      <c r="B24" t="s">
        <v>17</v>
      </c>
      <c r="C24" t="s">
        <v>17</v>
      </c>
      <c r="D24" t="s">
        <v>17</v>
      </c>
      <c r="E24" t="s">
        <v>17</v>
      </c>
      <c r="F24" s="23">
        <v>0</v>
      </c>
      <c r="G24" s="19" t="s">
        <v>9</v>
      </c>
      <c r="H24" s="34">
        <f>INDEX(U:U, MATCH(G24, T:T, 0))*F24</f>
        <v>0</v>
      </c>
      <c r="I24" s="34">
        <f t="shared" si="0"/>
        <v>0</v>
      </c>
      <c r="J24" s="34">
        <f t="shared" si="1"/>
        <v>0</v>
      </c>
    </row>
    <row r="25" spans="1:11" ht="18" customHeight="1" x14ac:dyDescent="0.35">
      <c r="A25" s="9">
        <v>153</v>
      </c>
      <c r="B25" t="s">
        <v>17</v>
      </c>
      <c r="C25" t="s">
        <v>17</v>
      </c>
      <c r="D25" t="s">
        <v>17</v>
      </c>
      <c r="E25" t="s">
        <v>17</v>
      </c>
      <c r="F25" s="23">
        <v>0</v>
      </c>
      <c r="G25" s="19" t="s">
        <v>9</v>
      </c>
      <c r="H25" s="34">
        <f>INDEX(U:U, MATCH(G25, T:T, 0))*F25</f>
        <v>0</v>
      </c>
      <c r="I25" s="34">
        <f t="shared" si="0"/>
        <v>0</v>
      </c>
      <c r="J25" s="34">
        <f t="shared" si="1"/>
        <v>0</v>
      </c>
    </row>
    <row r="26" spans="1:11" ht="18" customHeight="1" x14ac:dyDescent="0.35">
      <c r="A26" s="9">
        <v>154</v>
      </c>
      <c r="B26" t="s">
        <v>17</v>
      </c>
      <c r="C26" t="s">
        <v>17</v>
      </c>
      <c r="D26" t="s">
        <v>17</v>
      </c>
      <c r="E26" t="s">
        <v>17</v>
      </c>
      <c r="F26" s="23">
        <v>0</v>
      </c>
      <c r="G26" s="19" t="s">
        <v>9</v>
      </c>
      <c r="H26" s="34">
        <f>INDEX(U:U, MATCH(G26, T:T, 0))*F26</f>
        <v>0</v>
      </c>
      <c r="I26" s="34">
        <f t="shared" si="0"/>
        <v>0</v>
      </c>
      <c r="J26" s="34">
        <f t="shared" si="1"/>
        <v>0</v>
      </c>
    </row>
    <row r="27" spans="1:11" ht="18" customHeight="1" x14ac:dyDescent="0.35">
      <c r="A27" s="9">
        <v>156</v>
      </c>
      <c r="B27" t="s">
        <v>17</v>
      </c>
      <c r="C27" t="s">
        <v>17</v>
      </c>
      <c r="D27" t="s">
        <v>17</v>
      </c>
      <c r="E27" t="s">
        <v>17</v>
      </c>
      <c r="F27" s="23">
        <v>0</v>
      </c>
      <c r="G27" s="19" t="s">
        <v>9</v>
      </c>
      <c r="H27" s="34">
        <f>INDEX(U:U, MATCH(G27, T:T, 0))*F27</f>
        <v>0</v>
      </c>
      <c r="I27" s="34">
        <f t="shared" si="0"/>
        <v>0</v>
      </c>
      <c r="J27" s="34">
        <f t="shared" si="1"/>
        <v>0</v>
      </c>
    </row>
    <row r="28" spans="1:11" ht="18" customHeight="1" x14ac:dyDescent="0.35">
      <c r="A28" s="9">
        <v>158</v>
      </c>
      <c r="B28" t="s">
        <v>17</v>
      </c>
      <c r="C28" t="s">
        <v>17</v>
      </c>
      <c r="D28" t="s">
        <v>17</v>
      </c>
      <c r="E28" t="s">
        <v>17</v>
      </c>
      <c r="F28" s="23">
        <v>0</v>
      </c>
      <c r="G28" s="19" t="s">
        <v>9</v>
      </c>
      <c r="H28" s="34">
        <f>INDEX(U:U, MATCH(G28, T:T, 0))*F28</f>
        <v>0</v>
      </c>
      <c r="I28" s="34">
        <f t="shared" si="0"/>
        <v>0</v>
      </c>
      <c r="J28" s="34">
        <f t="shared" si="1"/>
        <v>0</v>
      </c>
    </row>
    <row r="29" spans="1:11" ht="18" customHeight="1" x14ac:dyDescent="0.35">
      <c r="A29" s="9">
        <v>172</v>
      </c>
      <c r="B29" t="s">
        <v>17</v>
      </c>
      <c r="C29" t="s">
        <v>17</v>
      </c>
      <c r="D29" t="s">
        <v>17</v>
      </c>
      <c r="E29" t="s">
        <v>17</v>
      </c>
      <c r="F29" s="23">
        <v>0</v>
      </c>
      <c r="G29" s="19" t="s">
        <v>9</v>
      </c>
      <c r="H29" s="34">
        <f>INDEX(U:U, MATCH(G29, T:T, 0))*F29</f>
        <v>0</v>
      </c>
      <c r="I29" s="34">
        <f t="shared" si="0"/>
        <v>0</v>
      </c>
      <c r="J29" s="34">
        <f t="shared" si="1"/>
        <v>0</v>
      </c>
      <c r="K29" s="41" t="s">
        <v>47</v>
      </c>
    </row>
    <row r="30" spans="1:11" ht="18" customHeight="1" x14ac:dyDescent="0.35">
      <c r="A30" s="9">
        <v>175</v>
      </c>
      <c r="B30" t="s">
        <v>17</v>
      </c>
      <c r="C30" t="s">
        <v>17</v>
      </c>
      <c r="D30" t="s">
        <v>17</v>
      </c>
      <c r="E30" t="s">
        <v>17</v>
      </c>
      <c r="F30" s="23">
        <v>0</v>
      </c>
      <c r="G30" s="19" t="s">
        <v>9</v>
      </c>
      <c r="H30" s="34">
        <f>INDEX(U:U, MATCH(G30, T:T, 0))*F30</f>
        <v>0</v>
      </c>
      <c r="I30" s="34">
        <f t="shared" si="0"/>
        <v>0</v>
      </c>
      <c r="J30" s="34">
        <f t="shared" si="1"/>
        <v>0</v>
      </c>
    </row>
    <row r="31" spans="1:11" ht="18" customHeight="1" x14ac:dyDescent="0.35">
      <c r="A31" s="9">
        <v>176</v>
      </c>
      <c r="B31" t="s">
        <v>17</v>
      </c>
      <c r="C31" t="s">
        <v>17</v>
      </c>
      <c r="D31" t="s">
        <v>17</v>
      </c>
      <c r="E31" t="s">
        <v>17</v>
      </c>
      <c r="F31" s="23">
        <v>0</v>
      </c>
      <c r="G31" s="19" t="s">
        <v>9</v>
      </c>
      <c r="H31" s="34">
        <f>INDEX(U:U, MATCH(G31, T:T, 0))*F31</f>
        <v>0</v>
      </c>
      <c r="I31" s="34">
        <f t="shared" si="0"/>
        <v>0</v>
      </c>
      <c r="J31" s="34">
        <f t="shared" si="1"/>
        <v>0</v>
      </c>
      <c r="K31" s="41" t="s">
        <v>50</v>
      </c>
    </row>
    <row r="32" spans="1:11" ht="18" customHeight="1" x14ac:dyDescent="0.35">
      <c r="A32" s="9">
        <v>178</v>
      </c>
      <c r="B32" t="s">
        <v>17</v>
      </c>
      <c r="C32" t="s">
        <v>17</v>
      </c>
      <c r="D32" t="s">
        <v>17</v>
      </c>
      <c r="E32" t="s">
        <v>17</v>
      </c>
      <c r="F32" s="23">
        <v>0</v>
      </c>
      <c r="G32" s="19" t="s">
        <v>9</v>
      </c>
      <c r="H32" s="34">
        <f>INDEX(U:U, MATCH(G32, T:T, 0))*F32</f>
        <v>0</v>
      </c>
      <c r="I32" s="34">
        <f t="shared" si="0"/>
        <v>0</v>
      </c>
      <c r="J32" s="34">
        <f t="shared" si="1"/>
        <v>0</v>
      </c>
    </row>
    <row r="33" spans="1:11" ht="18" customHeight="1" x14ac:dyDescent="0.35">
      <c r="A33" s="9">
        <v>179</v>
      </c>
      <c r="B33" t="s">
        <v>17</v>
      </c>
      <c r="C33" t="s">
        <v>17</v>
      </c>
      <c r="D33" t="s">
        <v>17</v>
      </c>
      <c r="E33" t="s">
        <v>17</v>
      </c>
      <c r="F33" s="23">
        <v>0</v>
      </c>
      <c r="G33" s="19" t="s">
        <v>9</v>
      </c>
      <c r="H33" s="34">
        <f>INDEX(U:U, MATCH(G33, T:T, 0))*F33</f>
        <v>0</v>
      </c>
      <c r="I33" s="34">
        <f t="shared" si="0"/>
        <v>0</v>
      </c>
      <c r="J33" s="34">
        <f t="shared" si="1"/>
        <v>0</v>
      </c>
    </row>
    <row r="34" spans="1:11" ht="18" customHeight="1" x14ac:dyDescent="0.35">
      <c r="A34" s="9">
        <v>180</v>
      </c>
      <c r="B34" t="s">
        <v>17</v>
      </c>
      <c r="C34" t="s">
        <v>17</v>
      </c>
      <c r="D34" t="s">
        <v>17</v>
      </c>
      <c r="E34" t="s">
        <v>17</v>
      </c>
      <c r="F34" s="23">
        <v>0</v>
      </c>
      <c r="G34" s="19" t="s">
        <v>9</v>
      </c>
      <c r="H34" s="34">
        <f>INDEX(U:U, MATCH(G34, T:T, 0))*F34</f>
        <v>0</v>
      </c>
      <c r="I34" s="34">
        <f t="shared" si="0"/>
        <v>0</v>
      </c>
      <c r="J34" s="34">
        <f t="shared" si="1"/>
        <v>0</v>
      </c>
      <c r="K34" s="41" t="s">
        <v>47</v>
      </c>
    </row>
    <row r="35" spans="1:11" ht="18" customHeight="1" x14ac:dyDescent="0.35">
      <c r="A35" s="9">
        <v>191</v>
      </c>
      <c r="B35" t="s">
        <v>17</v>
      </c>
      <c r="C35" t="s">
        <v>17</v>
      </c>
      <c r="D35" t="s">
        <v>17</v>
      </c>
      <c r="E35" t="s">
        <v>17</v>
      </c>
      <c r="F35" s="23">
        <v>0</v>
      </c>
      <c r="G35" s="19" t="s">
        <v>9</v>
      </c>
      <c r="H35" s="34">
        <f>INDEX(U:U, MATCH(G35, T:T, 0))*F35</f>
        <v>0</v>
      </c>
      <c r="I35" s="34">
        <f t="shared" si="0"/>
        <v>0</v>
      </c>
      <c r="J35" s="34">
        <f t="shared" si="1"/>
        <v>0</v>
      </c>
    </row>
    <row r="36" spans="1:11" ht="18" customHeight="1" x14ac:dyDescent="0.35">
      <c r="A36" s="9">
        <v>193</v>
      </c>
      <c r="B36" t="s">
        <v>17</v>
      </c>
      <c r="C36" t="s">
        <v>17</v>
      </c>
      <c r="D36" t="s">
        <v>17</v>
      </c>
      <c r="E36" t="s">
        <v>17</v>
      </c>
      <c r="F36" s="23">
        <v>0</v>
      </c>
      <c r="G36" s="19" t="s">
        <v>9</v>
      </c>
      <c r="H36" s="34">
        <f>INDEX(U:U, MATCH(G36, T:T, 0))*F36</f>
        <v>0</v>
      </c>
      <c r="I36" s="34">
        <f t="shared" si="0"/>
        <v>0</v>
      </c>
      <c r="J36" s="34">
        <f t="shared" si="1"/>
        <v>0</v>
      </c>
    </row>
    <row r="37" spans="1:11" ht="18" customHeight="1" x14ac:dyDescent="0.35">
      <c r="A37" s="9">
        <v>198</v>
      </c>
      <c r="B37" t="s">
        <v>17</v>
      </c>
      <c r="C37" t="s">
        <v>17</v>
      </c>
      <c r="D37" t="s">
        <v>17</v>
      </c>
      <c r="E37" t="s">
        <v>17</v>
      </c>
      <c r="F37" s="23">
        <v>0</v>
      </c>
      <c r="G37" s="19" t="s">
        <v>9</v>
      </c>
      <c r="H37" s="34">
        <f>INDEX(U:U, MATCH(G37, T:T, 0))*F37</f>
        <v>0</v>
      </c>
      <c r="I37" s="34">
        <f t="shared" si="0"/>
        <v>0</v>
      </c>
      <c r="J37" s="34">
        <f t="shared" si="1"/>
        <v>0</v>
      </c>
      <c r="K37" s="41" t="s">
        <v>47</v>
      </c>
    </row>
    <row r="38" spans="1:11" ht="18" customHeight="1" x14ac:dyDescent="0.35">
      <c r="A38" s="9">
        <v>199</v>
      </c>
      <c r="B38" t="s">
        <v>17</v>
      </c>
      <c r="C38" t="s">
        <v>17</v>
      </c>
      <c r="D38" t="s">
        <v>17</v>
      </c>
      <c r="E38" t="s">
        <v>17</v>
      </c>
      <c r="F38" s="23">
        <v>0</v>
      </c>
      <c r="G38" s="19" t="s">
        <v>9</v>
      </c>
      <c r="H38" s="34">
        <f>INDEX(U:U, MATCH(G38, T:T, 0))*F38</f>
        <v>0</v>
      </c>
      <c r="I38" s="34">
        <f t="shared" si="0"/>
        <v>0</v>
      </c>
      <c r="J38" s="34">
        <f t="shared" si="1"/>
        <v>0</v>
      </c>
      <c r="K38" s="41" t="s">
        <v>47</v>
      </c>
    </row>
    <row r="39" spans="1:11" ht="18" customHeight="1" x14ac:dyDescent="0.35">
      <c r="A39" s="9">
        <v>227</v>
      </c>
      <c r="B39" t="s">
        <v>17</v>
      </c>
      <c r="C39" t="s">
        <v>17</v>
      </c>
      <c r="D39" t="s">
        <v>17</v>
      </c>
      <c r="E39" t="s">
        <v>17</v>
      </c>
      <c r="F39" s="23">
        <v>0</v>
      </c>
      <c r="G39" s="19" t="s">
        <v>9</v>
      </c>
      <c r="H39" s="34">
        <f>INDEX(U:U, MATCH(G39, T:T, 0))*F39</f>
        <v>0</v>
      </c>
      <c r="I39" s="34">
        <f t="shared" si="0"/>
        <v>0</v>
      </c>
      <c r="J39" s="34">
        <f t="shared" si="1"/>
        <v>0</v>
      </c>
    </row>
    <row r="40" spans="1:11" ht="18" customHeight="1" x14ac:dyDescent="0.35">
      <c r="A40" s="9">
        <v>229</v>
      </c>
      <c r="B40" t="s">
        <v>17</v>
      </c>
      <c r="C40" t="s">
        <v>17</v>
      </c>
      <c r="D40" t="s">
        <v>17</v>
      </c>
      <c r="E40" t="s">
        <v>17</v>
      </c>
      <c r="F40" s="23">
        <v>0</v>
      </c>
      <c r="G40" s="19" t="s">
        <v>9</v>
      </c>
      <c r="H40" s="34">
        <f>INDEX(U:U, MATCH(G40, T:T, 0))*F40</f>
        <v>0</v>
      </c>
      <c r="I40" s="34">
        <f t="shared" si="0"/>
        <v>0</v>
      </c>
      <c r="J40" s="34">
        <f t="shared" si="1"/>
        <v>0</v>
      </c>
      <c r="K40" s="41" t="s">
        <v>84</v>
      </c>
    </row>
    <row r="41" spans="1:11" ht="18" customHeight="1" x14ac:dyDescent="0.35">
      <c r="A41" s="9">
        <v>232</v>
      </c>
      <c r="B41" t="s">
        <v>17</v>
      </c>
      <c r="C41" t="s">
        <v>17</v>
      </c>
      <c r="D41" t="s">
        <v>17</v>
      </c>
      <c r="E41" t="s">
        <v>17</v>
      </c>
      <c r="F41" s="23">
        <v>0</v>
      </c>
      <c r="G41" s="19" t="s">
        <v>9</v>
      </c>
      <c r="H41" s="34">
        <f>INDEX(U:U, MATCH(G41, T:T, 0))*F41</f>
        <v>0</v>
      </c>
      <c r="I41" s="34">
        <f t="shared" si="0"/>
        <v>0</v>
      </c>
      <c r="J41" s="34">
        <f t="shared" si="1"/>
        <v>0</v>
      </c>
    </row>
    <row r="42" spans="1:11" ht="18" customHeight="1" x14ac:dyDescent="0.35">
      <c r="A42" s="9">
        <v>296</v>
      </c>
      <c r="B42" t="s">
        <v>17</v>
      </c>
      <c r="C42" t="s">
        <v>17</v>
      </c>
      <c r="D42" t="s">
        <v>17</v>
      </c>
      <c r="E42" t="s">
        <v>17</v>
      </c>
      <c r="F42" s="23">
        <v>0</v>
      </c>
      <c r="G42" s="19" t="s">
        <v>9</v>
      </c>
      <c r="H42" s="34">
        <f>INDEX(U:U, MATCH(G42, T:T, 0))*F42</f>
        <v>0</v>
      </c>
      <c r="I42" s="34">
        <f t="shared" si="0"/>
        <v>0</v>
      </c>
      <c r="J42" s="34">
        <f t="shared" si="1"/>
        <v>0</v>
      </c>
    </row>
    <row r="43" spans="1:11" ht="18" customHeight="1" x14ac:dyDescent="0.35">
      <c r="A43" s="9">
        <v>303</v>
      </c>
      <c r="B43" t="s">
        <v>17</v>
      </c>
      <c r="C43" t="s">
        <v>17</v>
      </c>
      <c r="D43" t="s">
        <v>17</v>
      </c>
      <c r="E43" t="s">
        <v>17</v>
      </c>
      <c r="F43" s="23">
        <v>0</v>
      </c>
      <c r="G43" s="19" t="s">
        <v>9</v>
      </c>
      <c r="H43" s="34">
        <f>INDEX(U:U, MATCH(G43, T:T, 0))*F43</f>
        <v>0</v>
      </c>
      <c r="I43" s="34">
        <f t="shared" si="0"/>
        <v>0</v>
      </c>
      <c r="J43" s="34">
        <f t="shared" si="1"/>
        <v>0</v>
      </c>
    </row>
    <row r="44" spans="1:11" ht="18" customHeight="1" x14ac:dyDescent="0.35">
      <c r="A44" s="9">
        <v>305</v>
      </c>
      <c r="B44" t="s">
        <v>17</v>
      </c>
      <c r="C44" t="s">
        <v>17</v>
      </c>
      <c r="D44" t="s">
        <v>17</v>
      </c>
      <c r="E44" t="s">
        <v>17</v>
      </c>
      <c r="F44" s="23">
        <v>0</v>
      </c>
      <c r="G44" s="19" t="s">
        <v>9</v>
      </c>
      <c r="H44" s="34">
        <f>INDEX(U:U, MATCH(G44, T:T, 0))*F44</f>
        <v>0</v>
      </c>
      <c r="I44" s="34">
        <f t="shared" si="0"/>
        <v>0</v>
      </c>
      <c r="J44" s="34">
        <f t="shared" si="1"/>
        <v>0</v>
      </c>
    </row>
    <row r="45" spans="1:11" ht="18" customHeight="1" x14ac:dyDescent="0.35">
      <c r="A45" s="9">
        <v>310</v>
      </c>
      <c r="B45" t="s">
        <v>17</v>
      </c>
      <c r="C45" t="s">
        <v>17</v>
      </c>
      <c r="D45" t="s">
        <v>17</v>
      </c>
      <c r="E45" t="s">
        <v>17</v>
      </c>
      <c r="F45" s="23">
        <v>0</v>
      </c>
      <c r="G45" s="19" t="s">
        <v>9</v>
      </c>
      <c r="H45" s="34">
        <f>INDEX(U:U, MATCH(G45, T:T, 0))*F45</f>
        <v>0</v>
      </c>
      <c r="I45" s="34">
        <f t="shared" si="0"/>
        <v>0</v>
      </c>
      <c r="J45" s="34">
        <f t="shared" si="1"/>
        <v>0</v>
      </c>
    </row>
    <row r="46" spans="1:11" ht="18" customHeight="1" x14ac:dyDescent="0.35">
      <c r="A46" s="9">
        <v>322</v>
      </c>
      <c r="B46" t="s">
        <v>17</v>
      </c>
      <c r="C46" t="s">
        <v>17</v>
      </c>
      <c r="D46" t="s">
        <v>17</v>
      </c>
      <c r="E46" t="s">
        <v>17</v>
      </c>
      <c r="F46" s="23">
        <v>0</v>
      </c>
      <c r="G46" s="19" t="s">
        <v>9</v>
      </c>
      <c r="H46" s="34">
        <f>INDEX(U:U, MATCH(G46, T:T, 0))*F46</f>
        <v>0</v>
      </c>
      <c r="I46" s="34">
        <f t="shared" si="0"/>
        <v>0</v>
      </c>
      <c r="J46" s="34">
        <f t="shared" si="1"/>
        <v>0</v>
      </c>
    </row>
    <row r="47" spans="1:11" ht="18" customHeight="1" x14ac:dyDescent="0.35">
      <c r="A47" s="9">
        <v>323</v>
      </c>
      <c r="B47" t="s">
        <v>17</v>
      </c>
      <c r="C47" t="s">
        <v>17</v>
      </c>
      <c r="D47" t="s">
        <v>17</v>
      </c>
      <c r="E47" t="s">
        <v>17</v>
      </c>
      <c r="F47" s="23">
        <v>0</v>
      </c>
      <c r="G47" s="19" t="s">
        <v>9</v>
      </c>
      <c r="H47" s="34">
        <f>INDEX(U:U, MATCH(G47, T:T, 0))*F47</f>
        <v>0</v>
      </c>
      <c r="I47" s="34">
        <f t="shared" si="0"/>
        <v>0</v>
      </c>
      <c r="J47" s="34">
        <f t="shared" si="1"/>
        <v>0</v>
      </c>
    </row>
    <row r="48" spans="1:11" ht="18" customHeight="1" x14ac:dyDescent="0.35">
      <c r="A48" s="9">
        <v>325</v>
      </c>
      <c r="B48" t="s">
        <v>17</v>
      </c>
      <c r="C48" t="s">
        <v>17</v>
      </c>
      <c r="D48" t="s">
        <v>17</v>
      </c>
      <c r="E48" t="s">
        <v>17</v>
      </c>
      <c r="F48" s="23">
        <v>0</v>
      </c>
      <c r="G48" s="19" t="s">
        <v>9</v>
      </c>
      <c r="H48" s="34">
        <f>INDEX(U:U, MATCH(G48, T:T, 0))*F48</f>
        <v>0</v>
      </c>
      <c r="I48" s="34">
        <f t="shared" si="0"/>
        <v>0</v>
      </c>
      <c r="J48" s="34">
        <f t="shared" si="1"/>
        <v>0</v>
      </c>
    </row>
    <row r="49" spans="1:10" ht="18" customHeight="1" x14ac:dyDescent="0.35">
      <c r="A49" s="9">
        <v>327</v>
      </c>
      <c r="B49" t="s">
        <v>17</v>
      </c>
      <c r="C49" t="s">
        <v>17</v>
      </c>
      <c r="D49" t="s">
        <v>17</v>
      </c>
      <c r="E49" t="s">
        <v>17</v>
      </c>
      <c r="F49" s="23">
        <v>0</v>
      </c>
      <c r="G49" s="19" t="s">
        <v>9</v>
      </c>
      <c r="H49" s="34">
        <f>INDEX(U:U, MATCH(G49, T:T, 0))*F49</f>
        <v>0</v>
      </c>
      <c r="I49" s="34">
        <f t="shared" si="0"/>
        <v>0</v>
      </c>
      <c r="J49" s="34">
        <f t="shared" si="1"/>
        <v>0</v>
      </c>
    </row>
    <row r="50" spans="1:10" ht="18" customHeight="1" x14ac:dyDescent="0.35">
      <c r="A50" s="9">
        <v>328</v>
      </c>
      <c r="B50" t="s">
        <v>17</v>
      </c>
      <c r="C50" t="s">
        <v>17</v>
      </c>
      <c r="D50" t="s">
        <v>17</v>
      </c>
      <c r="E50" t="s">
        <v>17</v>
      </c>
      <c r="F50" s="23">
        <v>0</v>
      </c>
      <c r="G50" s="19" t="s">
        <v>9</v>
      </c>
      <c r="H50" s="34">
        <f>INDEX(U:U, MATCH(G50, T:T, 0))*F50</f>
        <v>0</v>
      </c>
      <c r="I50" s="34">
        <f t="shared" si="0"/>
        <v>0</v>
      </c>
      <c r="J50" s="34">
        <f t="shared" si="1"/>
        <v>0</v>
      </c>
    </row>
    <row r="51" spans="1:10" ht="18" customHeight="1" x14ac:dyDescent="0.35">
      <c r="A51" s="9">
        <v>330</v>
      </c>
      <c r="B51" t="s">
        <v>17</v>
      </c>
      <c r="C51" t="s">
        <v>17</v>
      </c>
      <c r="D51" t="s">
        <v>17</v>
      </c>
      <c r="E51" t="s">
        <v>17</v>
      </c>
      <c r="F51" s="23">
        <v>0</v>
      </c>
      <c r="G51" s="19" t="s">
        <v>9</v>
      </c>
      <c r="H51" s="34">
        <f>INDEX(U:U, MATCH(G51, T:T, 0))*F51</f>
        <v>0</v>
      </c>
      <c r="I51" s="34">
        <f t="shared" si="0"/>
        <v>0</v>
      </c>
      <c r="J51" s="34">
        <f t="shared" si="1"/>
        <v>0</v>
      </c>
    </row>
    <row r="52" spans="1:10" ht="18" customHeight="1" x14ac:dyDescent="0.35">
      <c r="A52" s="9">
        <v>342</v>
      </c>
      <c r="B52" t="s">
        <v>17</v>
      </c>
      <c r="C52" t="s">
        <v>17</v>
      </c>
      <c r="D52" t="s">
        <v>17</v>
      </c>
      <c r="E52" t="s">
        <v>17</v>
      </c>
      <c r="F52" s="23">
        <v>0</v>
      </c>
      <c r="G52" s="19" t="s">
        <v>9</v>
      </c>
      <c r="H52" s="34">
        <f>INDEX(U:U, MATCH(G52, T:T, 0))*F52</f>
        <v>0</v>
      </c>
      <c r="I52" s="34">
        <f t="shared" si="0"/>
        <v>0</v>
      </c>
      <c r="J52" s="34">
        <f t="shared" si="1"/>
        <v>0</v>
      </c>
    </row>
    <row r="53" spans="1:10" ht="18" customHeight="1" x14ac:dyDescent="0.35">
      <c r="A53" s="9">
        <v>345</v>
      </c>
      <c r="B53" t="s">
        <v>17</v>
      </c>
      <c r="C53" t="s">
        <v>17</v>
      </c>
      <c r="D53" t="s">
        <v>17</v>
      </c>
      <c r="E53" t="s">
        <v>17</v>
      </c>
      <c r="F53" s="23">
        <v>0</v>
      </c>
      <c r="G53" s="19" t="s">
        <v>9</v>
      </c>
      <c r="H53" s="34">
        <f>INDEX(U:U, MATCH(G53, T:T, 0))*F53</f>
        <v>0</v>
      </c>
      <c r="I53" s="34">
        <f t="shared" si="0"/>
        <v>0</v>
      </c>
      <c r="J53" s="34">
        <f t="shared" si="1"/>
        <v>0</v>
      </c>
    </row>
    <row r="54" spans="1:10" ht="18" customHeight="1" x14ac:dyDescent="0.35">
      <c r="A54" s="9">
        <v>346</v>
      </c>
      <c r="B54" t="s">
        <v>17</v>
      </c>
      <c r="C54" t="s">
        <v>17</v>
      </c>
      <c r="D54" t="s">
        <v>17</v>
      </c>
      <c r="E54" t="s">
        <v>17</v>
      </c>
      <c r="F54" s="23">
        <v>0</v>
      </c>
      <c r="G54" s="19" t="s">
        <v>9</v>
      </c>
      <c r="H54" s="34">
        <f>INDEX(U:U, MATCH(G54, T:T, 0))*F54</f>
        <v>0</v>
      </c>
      <c r="I54" s="34">
        <f t="shared" si="0"/>
        <v>0</v>
      </c>
      <c r="J54" s="34">
        <f t="shared" si="1"/>
        <v>0</v>
      </c>
    </row>
    <row r="55" spans="1:10" ht="18" customHeight="1" x14ac:dyDescent="0.35">
      <c r="A55" s="9">
        <v>362</v>
      </c>
      <c r="B55" t="s">
        <v>17</v>
      </c>
      <c r="C55" t="s">
        <v>17</v>
      </c>
      <c r="D55" t="s">
        <v>17</v>
      </c>
      <c r="E55" t="s">
        <v>17</v>
      </c>
      <c r="F55" s="23">
        <v>0</v>
      </c>
      <c r="G55" s="19" t="s">
        <v>9</v>
      </c>
      <c r="H55" s="34">
        <f>INDEX(U:U, MATCH(G55, T:T, 0))*F55</f>
        <v>0</v>
      </c>
      <c r="I55" s="34">
        <f t="shared" si="0"/>
        <v>0</v>
      </c>
      <c r="J55" s="34">
        <f t="shared" si="1"/>
        <v>0</v>
      </c>
    </row>
    <row r="56" spans="1:10" ht="18" customHeight="1" x14ac:dyDescent="0.35">
      <c r="A56" s="9">
        <v>365</v>
      </c>
      <c r="B56" t="s">
        <v>17</v>
      </c>
      <c r="C56" t="s">
        <v>17</v>
      </c>
      <c r="D56" t="s">
        <v>17</v>
      </c>
      <c r="E56" t="s">
        <v>17</v>
      </c>
      <c r="F56" s="23">
        <v>0</v>
      </c>
      <c r="G56" s="19" t="s">
        <v>9</v>
      </c>
      <c r="H56" s="34">
        <f>INDEX(U:U, MATCH(G56, T:T, 0))*F56</f>
        <v>0</v>
      </c>
      <c r="I56" s="34">
        <f t="shared" si="0"/>
        <v>0</v>
      </c>
      <c r="J56" s="34">
        <f t="shared" si="1"/>
        <v>0</v>
      </c>
    </row>
    <row r="57" spans="1:10" ht="18" customHeight="1" x14ac:dyDescent="0.35">
      <c r="A57" s="9">
        <v>370</v>
      </c>
      <c r="B57" t="s">
        <v>17</v>
      </c>
      <c r="C57" t="s">
        <v>17</v>
      </c>
      <c r="D57" t="s">
        <v>17</v>
      </c>
      <c r="E57" t="s">
        <v>17</v>
      </c>
      <c r="F57" s="23">
        <v>0</v>
      </c>
      <c r="G57" s="19" t="s">
        <v>9</v>
      </c>
      <c r="H57" s="34">
        <f>INDEX(U:U, MATCH(G57, T:T, 0))*F57</f>
        <v>0</v>
      </c>
      <c r="I57" s="34">
        <f t="shared" si="0"/>
        <v>0</v>
      </c>
      <c r="J57" s="34">
        <f t="shared" si="1"/>
        <v>0</v>
      </c>
    </row>
    <row r="58" spans="1:10" ht="18" customHeight="1" x14ac:dyDescent="0.35">
      <c r="A58" s="9">
        <v>376</v>
      </c>
      <c r="B58" t="s">
        <v>17</v>
      </c>
      <c r="C58" t="s">
        <v>17</v>
      </c>
      <c r="D58" t="s">
        <v>17</v>
      </c>
      <c r="E58" t="s">
        <v>17</v>
      </c>
      <c r="F58" s="23">
        <v>0</v>
      </c>
      <c r="G58" s="19" t="s">
        <v>9</v>
      </c>
      <c r="H58" s="34">
        <f>INDEX(U:U, MATCH(G58, T:T, 0))*F58</f>
        <v>0</v>
      </c>
      <c r="I58" s="34">
        <f t="shared" si="0"/>
        <v>0</v>
      </c>
      <c r="J58" s="34">
        <f t="shared" si="1"/>
        <v>0</v>
      </c>
    </row>
    <row r="59" spans="1:10" ht="18" customHeight="1" x14ac:dyDescent="0.35">
      <c r="A59" s="9">
        <v>384</v>
      </c>
      <c r="B59" t="s">
        <v>17</v>
      </c>
      <c r="C59" t="s">
        <v>17</v>
      </c>
      <c r="D59" t="s">
        <v>17</v>
      </c>
      <c r="E59" t="s">
        <v>17</v>
      </c>
      <c r="F59" s="23">
        <v>0</v>
      </c>
      <c r="G59" s="19" t="s">
        <v>9</v>
      </c>
      <c r="H59" s="34">
        <f>INDEX(U:U, MATCH(G59, T:T, 0))*F59</f>
        <v>0</v>
      </c>
      <c r="I59" s="34">
        <f t="shared" si="0"/>
        <v>0</v>
      </c>
      <c r="J59" s="34">
        <f t="shared" si="1"/>
        <v>0</v>
      </c>
    </row>
    <row r="60" spans="1:10" ht="18" customHeight="1" x14ac:dyDescent="0.35">
      <c r="A60" s="9">
        <v>421</v>
      </c>
      <c r="B60" t="s">
        <v>17</v>
      </c>
      <c r="C60" t="s">
        <v>17</v>
      </c>
      <c r="D60" t="s">
        <v>17</v>
      </c>
      <c r="E60" t="s">
        <v>17</v>
      </c>
      <c r="F60" s="23">
        <v>0</v>
      </c>
      <c r="G60" s="19" t="s">
        <v>9</v>
      </c>
      <c r="H60" s="34">
        <f>INDEX(U:U, MATCH(G60, T:T, 0))*F60</f>
        <v>0</v>
      </c>
      <c r="I60" s="34">
        <f t="shared" si="0"/>
        <v>0</v>
      </c>
      <c r="J60" s="34">
        <f t="shared" si="1"/>
        <v>0</v>
      </c>
    </row>
    <row r="61" spans="1:10" ht="18" customHeight="1" x14ac:dyDescent="0.35">
      <c r="A61" s="9">
        <v>457</v>
      </c>
      <c r="B61" t="s">
        <v>17</v>
      </c>
      <c r="C61" t="s">
        <v>17</v>
      </c>
      <c r="D61" t="s">
        <v>17</v>
      </c>
      <c r="E61" t="s">
        <v>17</v>
      </c>
      <c r="F61" s="23">
        <v>0</v>
      </c>
      <c r="G61" s="19" t="s">
        <v>9</v>
      </c>
      <c r="H61" s="34">
        <f>INDEX(U:U, MATCH(G61, T:T, 0))*F61</f>
        <v>0</v>
      </c>
      <c r="I61" s="34">
        <f t="shared" si="0"/>
        <v>0</v>
      </c>
      <c r="J61" s="34">
        <f t="shared" si="1"/>
        <v>0</v>
      </c>
    </row>
    <row r="62" spans="1:10" ht="18" customHeight="1" x14ac:dyDescent="0.35">
      <c r="A62" s="9">
        <v>472</v>
      </c>
      <c r="B62" t="s">
        <v>17</v>
      </c>
      <c r="C62" t="s">
        <v>17</v>
      </c>
      <c r="D62" t="s">
        <v>17</v>
      </c>
      <c r="E62" t="s">
        <v>17</v>
      </c>
      <c r="F62" s="23">
        <v>0</v>
      </c>
      <c r="G62" s="19" t="s">
        <v>9</v>
      </c>
      <c r="H62" s="34">
        <f>INDEX(U:U, MATCH(G62, T:T, 0))*F62</f>
        <v>0</v>
      </c>
      <c r="I62" s="34">
        <f t="shared" si="0"/>
        <v>0</v>
      </c>
      <c r="J62" s="34">
        <f t="shared" si="1"/>
        <v>0</v>
      </c>
    </row>
    <row r="63" spans="1:10" ht="18" customHeight="1" x14ac:dyDescent="0.35">
      <c r="A63" s="9">
        <v>473</v>
      </c>
      <c r="B63" t="s">
        <v>17</v>
      </c>
      <c r="C63" t="s">
        <v>17</v>
      </c>
      <c r="D63" t="s">
        <v>17</v>
      </c>
      <c r="E63" t="s">
        <v>17</v>
      </c>
      <c r="F63" s="23">
        <v>0</v>
      </c>
      <c r="G63" s="19" t="s">
        <v>9</v>
      </c>
      <c r="H63" s="34">
        <f>INDEX(U:U, MATCH(G63, T:T, 0))*F63</f>
        <v>0</v>
      </c>
      <c r="I63" s="34">
        <f t="shared" si="0"/>
        <v>0</v>
      </c>
      <c r="J63" s="34">
        <f t="shared" si="1"/>
        <v>0</v>
      </c>
    </row>
    <row r="64" spans="1:10" ht="18" customHeight="1" x14ac:dyDescent="0.35">
      <c r="A64" s="9">
        <v>474</v>
      </c>
      <c r="B64" t="s">
        <v>17</v>
      </c>
      <c r="C64" t="s">
        <v>17</v>
      </c>
      <c r="D64" t="s">
        <v>17</v>
      </c>
      <c r="E64" t="s">
        <v>17</v>
      </c>
      <c r="F64" s="23">
        <v>0</v>
      </c>
      <c r="G64" s="19" t="s">
        <v>9</v>
      </c>
      <c r="H64" s="34">
        <f>INDEX(U:U, MATCH(G64, T:T, 0))*F64</f>
        <v>0</v>
      </c>
      <c r="I64" s="34">
        <f t="shared" si="0"/>
        <v>0</v>
      </c>
      <c r="J64" s="34">
        <f t="shared" si="1"/>
        <v>0</v>
      </c>
    </row>
    <row r="65" spans="1:21" ht="18" customHeight="1" x14ac:dyDescent="0.35">
      <c r="A65" s="9">
        <v>476</v>
      </c>
      <c r="B65" t="s">
        <v>17</v>
      </c>
      <c r="C65" t="s">
        <v>17</v>
      </c>
      <c r="D65" t="s">
        <v>17</v>
      </c>
      <c r="E65" t="s">
        <v>17</v>
      </c>
      <c r="F65" s="23">
        <v>0</v>
      </c>
      <c r="G65" s="19" t="s">
        <v>9</v>
      </c>
      <c r="H65" s="34">
        <f>INDEX(U:U, MATCH(G65, T:T, 0))*F65</f>
        <v>0</v>
      </c>
      <c r="I65" s="34">
        <f t="shared" si="0"/>
        <v>0</v>
      </c>
      <c r="J65" s="34">
        <f t="shared" si="1"/>
        <v>0</v>
      </c>
    </row>
    <row r="66" spans="1:21" ht="18" customHeight="1" x14ac:dyDescent="0.35">
      <c r="A66" s="9">
        <v>477</v>
      </c>
      <c r="B66" t="s">
        <v>17</v>
      </c>
      <c r="C66" t="s">
        <v>17</v>
      </c>
      <c r="D66" t="s">
        <v>17</v>
      </c>
      <c r="E66" t="s">
        <v>17</v>
      </c>
      <c r="F66" s="23">
        <v>0</v>
      </c>
      <c r="G66" s="19" t="s">
        <v>9</v>
      </c>
      <c r="H66" s="34">
        <f>INDEX(U:U, MATCH(G66, T:T, 0))*F66</f>
        <v>0</v>
      </c>
      <c r="I66" s="34">
        <f t="shared" si="0"/>
        <v>0</v>
      </c>
      <c r="J66" s="34">
        <f t="shared" si="1"/>
        <v>0</v>
      </c>
    </row>
    <row r="67" spans="1:21" ht="18" customHeight="1" x14ac:dyDescent="0.35">
      <c r="A67" s="9">
        <v>479</v>
      </c>
      <c r="B67" t="s">
        <v>17</v>
      </c>
      <c r="C67" t="s">
        <v>17</v>
      </c>
      <c r="D67" t="s">
        <v>17</v>
      </c>
      <c r="E67" t="s">
        <v>17</v>
      </c>
      <c r="F67" s="23">
        <v>0</v>
      </c>
      <c r="G67" s="19" t="s">
        <v>9</v>
      </c>
      <c r="H67" s="34">
        <f>INDEX(U:U, MATCH(G67, T:T, 0))*F67</f>
        <v>0</v>
      </c>
      <c r="I67" s="34">
        <f t="shared" ref="I67:I130" si="2">IF(COUNTIF($T$3:$T$6, G67) &gt; 0, 0, 1)</f>
        <v>0</v>
      </c>
      <c r="J67" s="34">
        <f t="shared" ref="J67:J130" si="3">IF(COUNTIF(T$3:T$5, G67) &gt; 0, 0, 1)</f>
        <v>0</v>
      </c>
    </row>
    <row r="68" spans="1:21" ht="18" customHeight="1" x14ac:dyDescent="0.35">
      <c r="A68" s="9">
        <v>491</v>
      </c>
      <c r="B68" t="s">
        <v>17</v>
      </c>
      <c r="C68" t="s">
        <v>17</v>
      </c>
      <c r="D68" t="s">
        <v>17</v>
      </c>
      <c r="E68" t="s">
        <v>17</v>
      </c>
      <c r="F68" s="23">
        <v>0</v>
      </c>
      <c r="G68" s="19" t="s">
        <v>9</v>
      </c>
      <c r="H68" s="34">
        <f>INDEX(U:U, MATCH(G68, T:T, 0))*F68</f>
        <v>0</v>
      </c>
      <c r="I68" s="34">
        <f t="shared" si="2"/>
        <v>0</v>
      </c>
      <c r="J68" s="34">
        <f t="shared" si="3"/>
        <v>0</v>
      </c>
    </row>
    <row r="69" spans="1:21" ht="18" customHeight="1" x14ac:dyDescent="0.35">
      <c r="A69" s="9">
        <v>495</v>
      </c>
      <c r="B69" t="s">
        <v>17</v>
      </c>
      <c r="C69" t="s">
        <v>17</v>
      </c>
      <c r="D69" t="s">
        <v>17</v>
      </c>
      <c r="E69" t="s">
        <v>17</v>
      </c>
      <c r="F69" s="23">
        <v>0</v>
      </c>
      <c r="G69" s="19" t="s">
        <v>9</v>
      </c>
      <c r="H69" s="34">
        <f>INDEX(U:U, MATCH(G69, T:T, 0))*F69</f>
        <v>0</v>
      </c>
      <c r="I69" s="34">
        <f t="shared" si="2"/>
        <v>0</v>
      </c>
      <c r="J69" s="34">
        <f t="shared" si="3"/>
        <v>0</v>
      </c>
    </row>
    <row r="70" spans="1:21" ht="18" customHeight="1" x14ac:dyDescent="0.35">
      <c r="A70" s="9">
        <v>496</v>
      </c>
      <c r="B70" t="s">
        <v>17</v>
      </c>
      <c r="C70" t="s">
        <v>17</v>
      </c>
      <c r="D70" t="s">
        <v>17</v>
      </c>
      <c r="E70" t="s">
        <v>17</v>
      </c>
      <c r="F70" s="23">
        <v>0</v>
      </c>
      <c r="G70" s="19" t="s">
        <v>9</v>
      </c>
      <c r="H70" s="34">
        <f>INDEX(U:U, MATCH(G70, T:T, 0))*F70</f>
        <v>0</v>
      </c>
      <c r="I70" s="34">
        <f t="shared" si="2"/>
        <v>0</v>
      </c>
      <c r="J70" s="34">
        <f t="shared" si="3"/>
        <v>0</v>
      </c>
    </row>
    <row r="71" spans="1:21" ht="18" customHeight="1" x14ac:dyDescent="0.35">
      <c r="A71" s="9">
        <v>499</v>
      </c>
      <c r="B71" t="s">
        <v>17</v>
      </c>
      <c r="C71" t="s">
        <v>17</v>
      </c>
      <c r="D71" t="s">
        <v>17</v>
      </c>
      <c r="E71" t="s">
        <v>17</v>
      </c>
      <c r="F71" s="23">
        <v>0</v>
      </c>
      <c r="G71" s="19" t="s">
        <v>9</v>
      </c>
      <c r="H71" s="34">
        <f>INDEX(U:U, MATCH(G71, T:T, 0))*F71</f>
        <v>0</v>
      </c>
      <c r="I71" s="34">
        <f t="shared" si="2"/>
        <v>0</v>
      </c>
      <c r="J71" s="34">
        <f t="shared" si="3"/>
        <v>0</v>
      </c>
    </row>
    <row r="72" spans="1:21" s="32" customFormat="1" ht="18" customHeight="1" x14ac:dyDescent="0.35">
      <c r="A72" s="9">
        <v>500</v>
      </c>
      <c r="B72" t="s">
        <v>17</v>
      </c>
      <c r="C72" t="s">
        <v>17</v>
      </c>
      <c r="D72" t="s">
        <v>17</v>
      </c>
      <c r="E72" t="s">
        <v>17</v>
      </c>
      <c r="F72" s="23">
        <v>0</v>
      </c>
      <c r="G72" s="19" t="s">
        <v>9</v>
      </c>
      <c r="H72" s="34">
        <f>INDEX(U:U, MATCH(G72, T:T, 0))*F72</f>
        <v>0</v>
      </c>
      <c r="I72" s="34">
        <f t="shared" si="2"/>
        <v>0</v>
      </c>
      <c r="J72" s="34">
        <f t="shared" si="3"/>
        <v>0</v>
      </c>
      <c r="K72" s="41"/>
      <c r="L72" s="9"/>
      <c r="M72" s="1"/>
      <c r="N72" s="1"/>
      <c r="O72" s="1"/>
      <c r="P72" s="19"/>
      <c r="Q72" s="19"/>
      <c r="R72" s="49"/>
      <c r="S72"/>
      <c r="T72"/>
      <c r="U72"/>
    </row>
    <row r="73" spans="1:21" ht="18" customHeight="1" x14ac:dyDescent="0.35">
      <c r="A73" s="9">
        <v>511</v>
      </c>
      <c r="B73" t="s">
        <v>17</v>
      </c>
      <c r="C73" t="s">
        <v>17</v>
      </c>
      <c r="D73" t="s">
        <v>17</v>
      </c>
      <c r="E73" t="s">
        <v>17</v>
      </c>
      <c r="F73" s="23">
        <v>0</v>
      </c>
      <c r="G73" s="19" t="s">
        <v>9</v>
      </c>
      <c r="H73" s="34">
        <f>INDEX(U:U, MATCH(G73, T:T, 0))*F73</f>
        <v>0</v>
      </c>
      <c r="I73" s="34">
        <f t="shared" si="2"/>
        <v>0</v>
      </c>
      <c r="J73" s="34">
        <f t="shared" si="3"/>
        <v>0</v>
      </c>
    </row>
    <row r="74" spans="1:21" ht="18" customHeight="1" x14ac:dyDescent="0.35">
      <c r="A74" s="9">
        <v>515</v>
      </c>
      <c r="B74" t="s">
        <v>17</v>
      </c>
      <c r="C74" t="s">
        <v>17</v>
      </c>
      <c r="D74" t="s">
        <v>17</v>
      </c>
      <c r="E74" t="s">
        <v>17</v>
      </c>
      <c r="F74" s="23">
        <v>0</v>
      </c>
      <c r="G74" s="19" t="s">
        <v>9</v>
      </c>
      <c r="H74" s="34">
        <f>INDEX(U:U, MATCH(G74, T:T, 0))*F74</f>
        <v>0</v>
      </c>
      <c r="I74" s="34">
        <f t="shared" si="2"/>
        <v>0</v>
      </c>
      <c r="J74" s="34">
        <f t="shared" si="3"/>
        <v>0</v>
      </c>
    </row>
    <row r="75" spans="1:21" ht="18" customHeight="1" x14ac:dyDescent="0.35">
      <c r="A75" s="9">
        <v>517</v>
      </c>
      <c r="B75" t="s">
        <v>17</v>
      </c>
      <c r="C75" t="s">
        <v>17</v>
      </c>
      <c r="D75" t="s">
        <v>17</v>
      </c>
      <c r="E75" t="s">
        <v>17</v>
      </c>
      <c r="F75" s="23">
        <v>0</v>
      </c>
      <c r="G75" s="19" t="s">
        <v>9</v>
      </c>
      <c r="H75" s="34">
        <f>INDEX(U:U, MATCH(G75, T:T, 0))*F75</f>
        <v>0</v>
      </c>
      <c r="I75" s="34">
        <f t="shared" si="2"/>
        <v>0</v>
      </c>
      <c r="J75" s="34">
        <f t="shared" si="3"/>
        <v>0</v>
      </c>
    </row>
    <row r="76" spans="1:21" ht="18" customHeight="1" x14ac:dyDescent="0.35">
      <c r="A76" s="9">
        <v>520</v>
      </c>
      <c r="B76" t="s">
        <v>17</v>
      </c>
      <c r="C76" t="s">
        <v>17</v>
      </c>
      <c r="D76" t="s">
        <v>17</v>
      </c>
      <c r="E76" t="s">
        <v>17</v>
      </c>
      <c r="F76" s="23">
        <v>0</v>
      </c>
      <c r="G76" s="19" t="s">
        <v>9</v>
      </c>
      <c r="H76" s="34">
        <f>INDEX(U:U, MATCH(G76, T:T, 0))*F76</f>
        <v>0</v>
      </c>
      <c r="I76" s="34">
        <f t="shared" si="2"/>
        <v>0</v>
      </c>
      <c r="J76" s="34">
        <f t="shared" si="3"/>
        <v>0</v>
      </c>
    </row>
    <row r="77" spans="1:21" ht="18" customHeight="1" x14ac:dyDescent="0.35">
      <c r="A77" s="9">
        <v>524</v>
      </c>
      <c r="B77" t="s">
        <v>17</v>
      </c>
      <c r="C77" t="s">
        <v>17</v>
      </c>
      <c r="D77" t="s">
        <v>17</v>
      </c>
      <c r="E77" t="s">
        <v>17</v>
      </c>
      <c r="F77" s="23">
        <v>0</v>
      </c>
      <c r="G77" s="19" t="s">
        <v>9</v>
      </c>
      <c r="H77" s="34">
        <f>INDEX(U:U, MATCH(G77, T:T, 0))*F77</f>
        <v>0</v>
      </c>
      <c r="I77" s="34">
        <f t="shared" si="2"/>
        <v>0</v>
      </c>
      <c r="J77" s="34">
        <f t="shared" si="3"/>
        <v>0</v>
      </c>
    </row>
    <row r="78" spans="1:21" ht="18" customHeight="1" x14ac:dyDescent="0.35">
      <c r="A78" s="9">
        <v>526</v>
      </c>
      <c r="B78" t="s">
        <v>17</v>
      </c>
      <c r="C78" t="s">
        <v>17</v>
      </c>
      <c r="D78" t="s">
        <v>17</v>
      </c>
      <c r="E78" t="s">
        <v>17</v>
      </c>
      <c r="F78" s="23">
        <v>0</v>
      </c>
      <c r="G78" s="19" t="s">
        <v>9</v>
      </c>
      <c r="H78" s="34">
        <f>INDEX(U:U, MATCH(G78, T:T, 0))*F78</f>
        <v>0</v>
      </c>
      <c r="I78" s="34">
        <f t="shared" si="2"/>
        <v>0</v>
      </c>
      <c r="J78" s="34">
        <f t="shared" si="3"/>
        <v>0</v>
      </c>
    </row>
    <row r="79" spans="1:21" ht="18" customHeight="1" x14ac:dyDescent="0.35">
      <c r="A79" s="9">
        <v>528</v>
      </c>
      <c r="B79" t="s">
        <v>17</v>
      </c>
      <c r="C79" t="s">
        <v>17</v>
      </c>
      <c r="D79" t="s">
        <v>17</v>
      </c>
      <c r="E79" t="s">
        <v>17</v>
      </c>
      <c r="F79" s="23">
        <v>0</v>
      </c>
      <c r="G79" s="19" t="s">
        <v>9</v>
      </c>
      <c r="H79" s="34">
        <f>INDEX(U:U, MATCH(G79, T:T, 0))*F79</f>
        <v>0</v>
      </c>
      <c r="I79" s="34">
        <f t="shared" si="2"/>
        <v>0</v>
      </c>
      <c r="J79" s="34">
        <f t="shared" si="3"/>
        <v>0</v>
      </c>
    </row>
    <row r="80" spans="1:21" ht="18" customHeight="1" x14ac:dyDescent="0.35">
      <c r="A80" s="9">
        <v>529</v>
      </c>
      <c r="B80" t="s">
        <v>17</v>
      </c>
      <c r="C80" t="s">
        <v>17</v>
      </c>
      <c r="D80" t="s">
        <v>17</v>
      </c>
      <c r="E80" t="s">
        <v>17</v>
      </c>
      <c r="F80" s="23">
        <v>0</v>
      </c>
      <c r="G80" s="19" t="s">
        <v>9</v>
      </c>
      <c r="H80" s="34">
        <f>INDEX(U:U, MATCH(G80, T:T, 0))*F80</f>
        <v>0</v>
      </c>
      <c r="I80" s="34">
        <f t="shared" si="2"/>
        <v>0</v>
      </c>
      <c r="J80" s="34">
        <f t="shared" si="3"/>
        <v>0</v>
      </c>
    </row>
    <row r="81" spans="1:21" ht="18" customHeight="1" x14ac:dyDescent="0.35">
      <c r="A81" s="9">
        <v>532</v>
      </c>
      <c r="B81" t="s">
        <v>17</v>
      </c>
      <c r="C81" t="s">
        <v>17</v>
      </c>
      <c r="D81" t="s">
        <v>17</v>
      </c>
      <c r="E81" t="s">
        <v>17</v>
      </c>
      <c r="F81" s="23">
        <v>0</v>
      </c>
      <c r="G81" s="19" t="s">
        <v>9</v>
      </c>
      <c r="H81" s="34">
        <f>INDEX(U:U, MATCH(G81, T:T, 0))*F81</f>
        <v>0</v>
      </c>
      <c r="I81" s="34">
        <f t="shared" si="2"/>
        <v>0</v>
      </c>
      <c r="J81" s="34">
        <f t="shared" si="3"/>
        <v>0</v>
      </c>
    </row>
    <row r="82" spans="1:21" ht="18" customHeight="1" x14ac:dyDescent="0.35">
      <c r="A82" s="9">
        <v>535</v>
      </c>
      <c r="B82" t="s">
        <v>17</v>
      </c>
      <c r="C82" t="s">
        <v>17</v>
      </c>
      <c r="D82" t="s">
        <v>17</v>
      </c>
      <c r="E82" t="s">
        <v>17</v>
      </c>
      <c r="F82" s="23">
        <v>0</v>
      </c>
      <c r="G82" s="19" t="s">
        <v>9</v>
      </c>
      <c r="H82" s="34">
        <f>INDEX(U:U, MATCH(G82, T:T, 0))*F82</f>
        <v>0</v>
      </c>
      <c r="I82" s="34">
        <f t="shared" si="2"/>
        <v>0</v>
      </c>
      <c r="J82" s="34">
        <f t="shared" si="3"/>
        <v>0</v>
      </c>
    </row>
    <row r="83" spans="1:21" ht="18" customHeight="1" x14ac:dyDescent="0.35">
      <c r="A83" s="9">
        <v>546</v>
      </c>
      <c r="B83" t="s">
        <v>17</v>
      </c>
      <c r="C83" t="s">
        <v>17</v>
      </c>
      <c r="D83" t="s">
        <v>17</v>
      </c>
      <c r="E83" t="s">
        <v>17</v>
      </c>
      <c r="F83" s="23">
        <v>0</v>
      </c>
      <c r="G83" s="19" t="s">
        <v>9</v>
      </c>
      <c r="H83" s="34">
        <f>INDEX(U:U, MATCH(G83, T:T, 0))*F83</f>
        <v>0</v>
      </c>
      <c r="I83" s="34">
        <f t="shared" si="2"/>
        <v>0</v>
      </c>
      <c r="J83" s="34">
        <f t="shared" si="3"/>
        <v>0</v>
      </c>
    </row>
    <row r="84" spans="1:21" ht="18" customHeight="1" x14ac:dyDescent="0.35">
      <c r="A84" s="9">
        <v>547</v>
      </c>
      <c r="B84" t="s">
        <v>17</v>
      </c>
      <c r="C84" t="s">
        <v>17</v>
      </c>
      <c r="D84" t="s">
        <v>17</v>
      </c>
      <c r="E84" t="s">
        <v>17</v>
      </c>
      <c r="F84" s="23">
        <v>0</v>
      </c>
      <c r="G84" s="19" t="s">
        <v>9</v>
      </c>
      <c r="H84" s="34">
        <f>INDEX(U:U, MATCH(G84, T:T, 0))*F84</f>
        <v>0</v>
      </c>
      <c r="I84" s="34">
        <f t="shared" si="2"/>
        <v>0</v>
      </c>
      <c r="J84" s="34">
        <f t="shared" si="3"/>
        <v>0</v>
      </c>
      <c r="T84" s="32"/>
      <c r="U84" s="32"/>
    </row>
    <row r="85" spans="1:21" ht="18" customHeight="1" x14ac:dyDescent="0.35">
      <c r="A85" s="9">
        <v>548</v>
      </c>
      <c r="B85" t="s">
        <v>17</v>
      </c>
      <c r="C85" t="s">
        <v>17</v>
      </c>
      <c r="D85" t="s">
        <v>17</v>
      </c>
      <c r="E85" t="s">
        <v>17</v>
      </c>
      <c r="F85" s="23">
        <v>0</v>
      </c>
      <c r="G85" s="19" t="s">
        <v>9</v>
      </c>
      <c r="H85" s="34">
        <f>INDEX(U:U, MATCH(G85, T:T, 0))*F85</f>
        <v>0</v>
      </c>
      <c r="I85" s="34">
        <f t="shared" si="2"/>
        <v>0</v>
      </c>
      <c r="J85" s="34">
        <f t="shared" si="3"/>
        <v>0</v>
      </c>
      <c r="S85" s="32"/>
    </row>
    <row r="86" spans="1:21" ht="18" customHeight="1" x14ac:dyDescent="0.35">
      <c r="A86" s="9">
        <v>549</v>
      </c>
      <c r="B86" t="s">
        <v>17</v>
      </c>
      <c r="C86" t="s">
        <v>17</v>
      </c>
      <c r="D86" t="s">
        <v>17</v>
      </c>
      <c r="E86" t="s">
        <v>17</v>
      </c>
      <c r="F86" s="23">
        <v>0</v>
      </c>
      <c r="G86" s="19" t="s">
        <v>9</v>
      </c>
      <c r="H86" s="34">
        <f>INDEX(U:U, MATCH(G86, T:T, 0))*F86</f>
        <v>0</v>
      </c>
      <c r="I86" s="34">
        <f t="shared" si="2"/>
        <v>0</v>
      </c>
      <c r="J86" s="34">
        <f t="shared" si="3"/>
        <v>0</v>
      </c>
    </row>
    <row r="87" spans="1:21" ht="18" customHeight="1" x14ac:dyDescent="0.35">
      <c r="A87" s="9">
        <v>550</v>
      </c>
      <c r="B87" t="s">
        <v>17</v>
      </c>
      <c r="C87" t="s">
        <v>17</v>
      </c>
      <c r="D87" t="s">
        <v>17</v>
      </c>
      <c r="E87" t="s">
        <v>17</v>
      </c>
      <c r="F87" s="23">
        <v>0</v>
      </c>
      <c r="G87" s="19" t="s">
        <v>9</v>
      </c>
      <c r="H87" s="34">
        <f>INDEX(U:U, MATCH(G87, T:T, 0))*F87</f>
        <v>0</v>
      </c>
      <c r="I87" s="34">
        <f t="shared" si="2"/>
        <v>0</v>
      </c>
      <c r="J87" s="34">
        <f t="shared" si="3"/>
        <v>0</v>
      </c>
    </row>
    <row r="88" spans="1:21" ht="18" customHeight="1" x14ac:dyDescent="0.35">
      <c r="A88" s="9">
        <v>551</v>
      </c>
      <c r="B88" t="s">
        <v>17</v>
      </c>
      <c r="C88" t="s">
        <v>17</v>
      </c>
      <c r="D88" t="s">
        <v>17</v>
      </c>
      <c r="E88" t="s">
        <v>17</v>
      </c>
      <c r="F88" s="23">
        <v>0</v>
      </c>
      <c r="G88" s="19" t="s">
        <v>9</v>
      </c>
      <c r="H88" s="34">
        <f>INDEX(U:U, MATCH(G88, T:T, 0))*F88</f>
        <v>0</v>
      </c>
      <c r="I88" s="34">
        <f t="shared" si="2"/>
        <v>0</v>
      </c>
      <c r="J88" s="34">
        <f t="shared" si="3"/>
        <v>0</v>
      </c>
    </row>
    <row r="89" spans="1:21" ht="18" customHeight="1" x14ac:dyDescent="0.35">
      <c r="A89" s="9">
        <v>552</v>
      </c>
      <c r="B89" t="s">
        <v>17</v>
      </c>
      <c r="C89" t="s">
        <v>17</v>
      </c>
      <c r="D89" t="s">
        <v>17</v>
      </c>
      <c r="E89" t="s">
        <v>17</v>
      </c>
      <c r="F89" s="23">
        <v>0</v>
      </c>
      <c r="G89" s="19" t="s">
        <v>9</v>
      </c>
      <c r="H89" s="34">
        <f>INDEX(U:U, MATCH(G89, T:T, 0))*F89</f>
        <v>0</v>
      </c>
      <c r="I89" s="34">
        <f t="shared" si="2"/>
        <v>0</v>
      </c>
      <c r="J89" s="34">
        <f t="shared" si="3"/>
        <v>0</v>
      </c>
    </row>
    <row r="90" spans="1:21" ht="18" customHeight="1" x14ac:dyDescent="0.35">
      <c r="A90" s="9">
        <v>553</v>
      </c>
      <c r="B90" t="s">
        <v>17</v>
      </c>
      <c r="C90" t="s">
        <v>17</v>
      </c>
      <c r="D90" t="s">
        <v>17</v>
      </c>
      <c r="E90" t="s">
        <v>17</v>
      </c>
      <c r="F90" s="23">
        <v>0</v>
      </c>
      <c r="G90" s="19" t="s">
        <v>9</v>
      </c>
      <c r="H90" s="34">
        <f>INDEX(U:U, MATCH(G90, T:T, 0))*F90</f>
        <v>0</v>
      </c>
      <c r="I90" s="34">
        <f t="shared" si="2"/>
        <v>0</v>
      </c>
      <c r="J90" s="34">
        <f t="shared" si="3"/>
        <v>0</v>
      </c>
    </row>
    <row r="91" spans="1:21" ht="18" customHeight="1" x14ac:dyDescent="0.35">
      <c r="A91" s="9">
        <v>554</v>
      </c>
      <c r="B91" t="s">
        <v>17</v>
      </c>
      <c r="C91" t="s">
        <v>17</v>
      </c>
      <c r="D91" t="s">
        <v>17</v>
      </c>
      <c r="E91" t="s">
        <v>17</v>
      </c>
      <c r="F91" s="23">
        <v>0</v>
      </c>
      <c r="G91" s="19" t="s">
        <v>9</v>
      </c>
      <c r="H91" s="34">
        <f>INDEX(U:U, MATCH(G91, T:T, 0))*F91</f>
        <v>0</v>
      </c>
      <c r="I91" s="34">
        <f t="shared" si="2"/>
        <v>0</v>
      </c>
      <c r="J91" s="34">
        <f t="shared" si="3"/>
        <v>0</v>
      </c>
    </row>
    <row r="92" spans="1:21" ht="18" customHeight="1" x14ac:dyDescent="0.35">
      <c r="A92" s="9">
        <v>555</v>
      </c>
      <c r="B92" t="s">
        <v>17</v>
      </c>
      <c r="C92" t="s">
        <v>17</v>
      </c>
      <c r="D92" t="s">
        <v>17</v>
      </c>
      <c r="E92" t="s">
        <v>17</v>
      </c>
      <c r="F92" s="23">
        <v>0</v>
      </c>
      <c r="G92" s="19" t="s">
        <v>9</v>
      </c>
      <c r="H92" s="34">
        <f>INDEX(U:U, MATCH(G92, T:T, 0))*F92</f>
        <v>0</v>
      </c>
      <c r="I92" s="34">
        <f t="shared" si="2"/>
        <v>0</v>
      </c>
      <c r="J92" s="34">
        <f t="shared" si="3"/>
        <v>0</v>
      </c>
    </row>
    <row r="93" spans="1:21" ht="18" customHeight="1" x14ac:dyDescent="0.35">
      <c r="A93" s="9">
        <v>566</v>
      </c>
      <c r="B93" t="s">
        <v>17</v>
      </c>
      <c r="C93" t="s">
        <v>18</v>
      </c>
      <c r="D93" t="s">
        <v>17</v>
      </c>
      <c r="E93" t="s">
        <v>19</v>
      </c>
      <c r="F93" s="23">
        <v>0</v>
      </c>
      <c r="G93" s="19" t="s">
        <v>9</v>
      </c>
      <c r="H93" s="34">
        <f>INDEX(U:U, MATCH(G93, T:T, 0))*F93</f>
        <v>0</v>
      </c>
      <c r="I93" s="34">
        <f t="shared" si="2"/>
        <v>0</v>
      </c>
      <c r="J93" s="34">
        <f t="shared" si="3"/>
        <v>0</v>
      </c>
    </row>
    <row r="94" spans="1:21" ht="18" customHeight="1" x14ac:dyDescent="0.35">
      <c r="A94" s="9">
        <v>568</v>
      </c>
      <c r="B94" t="s">
        <v>17</v>
      </c>
      <c r="C94" t="s">
        <v>17</v>
      </c>
      <c r="D94" t="s">
        <v>17</v>
      </c>
      <c r="E94" t="s">
        <v>17</v>
      </c>
      <c r="F94" s="23">
        <v>0</v>
      </c>
      <c r="G94" s="19" t="s">
        <v>9</v>
      </c>
      <c r="H94" s="34">
        <f>INDEX(U:U, MATCH(G94, T:T, 0))*F94</f>
        <v>0</v>
      </c>
      <c r="I94" s="34">
        <f t="shared" si="2"/>
        <v>0</v>
      </c>
      <c r="J94" s="34">
        <f t="shared" si="3"/>
        <v>0</v>
      </c>
    </row>
    <row r="95" spans="1:21" ht="18" customHeight="1" x14ac:dyDescent="0.35">
      <c r="A95" s="9">
        <v>571</v>
      </c>
      <c r="B95" t="s">
        <v>17</v>
      </c>
      <c r="C95" t="s">
        <v>17</v>
      </c>
      <c r="D95" t="s">
        <v>17</v>
      </c>
      <c r="E95" t="s">
        <v>17</v>
      </c>
      <c r="F95" s="23">
        <v>0</v>
      </c>
      <c r="G95" s="19" t="s">
        <v>9</v>
      </c>
      <c r="H95" s="34">
        <f>INDEX(U:U, MATCH(G95, T:T, 0))*F95</f>
        <v>0</v>
      </c>
      <c r="I95" s="34">
        <f t="shared" si="2"/>
        <v>0</v>
      </c>
      <c r="J95" s="34">
        <f t="shared" si="3"/>
        <v>0</v>
      </c>
    </row>
    <row r="96" spans="1:21" ht="18" customHeight="1" x14ac:dyDescent="0.35">
      <c r="A96" s="9">
        <v>575</v>
      </c>
      <c r="B96" t="s">
        <v>17</v>
      </c>
      <c r="C96" t="s">
        <v>17</v>
      </c>
      <c r="D96" t="s">
        <v>17</v>
      </c>
      <c r="E96" t="s">
        <v>17</v>
      </c>
      <c r="F96" s="23">
        <v>0</v>
      </c>
      <c r="G96" s="19" t="s">
        <v>9</v>
      </c>
      <c r="H96" s="34">
        <f>INDEX(U:U, MATCH(G96, T:T, 0))*F96</f>
        <v>0</v>
      </c>
      <c r="I96" s="34">
        <f t="shared" si="2"/>
        <v>0</v>
      </c>
      <c r="J96" s="34">
        <f t="shared" si="3"/>
        <v>0</v>
      </c>
    </row>
    <row r="97" spans="1:10" ht="18" customHeight="1" x14ac:dyDescent="0.35">
      <c r="A97" s="9">
        <v>587</v>
      </c>
      <c r="B97" t="s">
        <v>17</v>
      </c>
      <c r="C97" t="s">
        <v>17</v>
      </c>
      <c r="D97" t="s">
        <v>17</v>
      </c>
      <c r="E97" t="s">
        <v>17</v>
      </c>
      <c r="F97" s="23">
        <v>0</v>
      </c>
      <c r="G97" s="19" t="s">
        <v>9</v>
      </c>
      <c r="H97" s="34">
        <f>INDEX(U:U, MATCH(G97, T:T, 0))*F97</f>
        <v>0</v>
      </c>
      <c r="I97" s="34">
        <f t="shared" si="2"/>
        <v>0</v>
      </c>
      <c r="J97" s="34">
        <f t="shared" si="3"/>
        <v>0</v>
      </c>
    </row>
    <row r="98" spans="1:10" ht="18" customHeight="1" x14ac:dyDescent="0.35">
      <c r="A98" s="9">
        <v>607</v>
      </c>
      <c r="B98" t="s">
        <v>17</v>
      </c>
      <c r="C98" t="s">
        <v>17</v>
      </c>
      <c r="D98" t="s">
        <v>17</v>
      </c>
      <c r="E98" t="s">
        <v>17</v>
      </c>
      <c r="F98" s="23">
        <v>0</v>
      </c>
      <c r="G98" s="19" t="s">
        <v>9</v>
      </c>
      <c r="H98" s="34">
        <f>INDEX(U:U, MATCH(G98, T:T, 0))*F98</f>
        <v>0</v>
      </c>
      <c r="I98" s="34">
        <f t="shared" si="2"/>
        <v>0</v>
      </c>
      <c r="J98" s="34">
        <f t="shared" si="3"/>
        <v>0</v>
      </c>
    </row>
    <row r="99" spans="1:10" ht="18" customHeight="1" x14ac:dyDescent="0.35">
      <c r="A99" s="9">
        <v>622</v>
      </c>
      <c r="B99" t="s">
        <v>17</v>
      </c>
      <c r="C99" t="s">
        <v>17</v>
      </c>
      <c r="D99" t="s">
        <v>17</v>
      </c>
      <c r="E99" t="s">
        <v>17</v>
      </c>
      <c r="F99" s="23">
        <v>0</v>
      </c>
      <c r="G99" s="19" t="s">
        <v>9</v>
      </c>
      <c r="H99" s="34">
        <f>INDEX(U:U, MATCH(G99, T:T, 0))*F99</f>
        <v>0</v>
      </c>
      <c r="I99" s="34">
        <f t="shared" si="2"/>
        <v>0</v>
      </c>
      <c r="J99" s="34">
        <f t="shared" si="3"/>
        <v>0</v>
      </c>
    </row>
    <row r="100" spans="1:10" ht="18" customHeight="1" x14ac:dyDescent="0.35">
      <c r="A100" s="9">
        <v>623</v>
      </c>
      <c r="B100" t="s">
        <v>17</v>
      </c>
      <c r="C100" t="s">
        <v>17</v>
      </c>
      <c r="D100" t="s">
        <v>17</v>
      </c>
      <c r="E100" t="s">
        <v>17</v>
      </c>
      <c r="F100" s="23">
        <v>0</v>
      </c>
      <c r="G100" s="19" t="s">
        <v>9</v>
      </c>
      <c r="H100" s="34">
        <f>INDEX(U:U, MATCH(G100, T:T, 0))*F100</f>
        <v>0</v>
      </c>
      <c r="I100" s="34">
        <f t="shared" si="2"/>
        <v>0</v>
      </c>
      <c r="J100" s="34">
        <f t="shared" si="3"/>
        <v>0</v>
      </c>
    </row>
    <row r="101" spans="1:10" ht="18" customHeight="1" x14ac:dyDescent="0.35">
      <c r="A101" s="9">
        <v>624</v>
      </c>
      <c r="B101" t="s">
        <v>17</v>
      </c>
      <c r="C101" t="s">
        <v>17</v>
      </c>
      <c r="D101" t="s">
        <v>17</v>
      </c>
      <c r="E101" t="s">
        <v>17</v>
      </c>
      <c r="F101" s="23">
        <v>0</v>
      </c>
      <c r="G101" s="19" t="s">
        <v>9</v>
      </c>
      <c r="H101" s="34">
        <f>INDEX(U:U, MATCH(G101, T:T, 0))*F101</f>
        <v>0</v>
      </c>
      <c r="I101" s="34">
        <f t="shared" si="2"/>
        <v>0</v>
      </c>
      <c r="J101" s="34">
        <f t="shared" si="3"/>
        <v>0</v>
      </c>
    </row>
    <row r="102" spans="1:10" ht="18" customHeight="1" x14ac:dyDescent="0.35">
      <c r="A102" s="9">
        <v>628</v>
      </c>
      <c r="B102" t="s">
        <v>17</v>
      </c>
      <c r="C102" t="s">
        <v>17</v>
      </c>
      <c r="D102" t="s">
        <v>17</v>
      </c>
      <c r="E102" t="s">
        <v>17</v>
      </c>
      <c r="F102" s="23">
        <v>0</v>
      </c>
      <c r="G102" s="19" t="s">
        <v>9</v>
      </c>
      <c r="H102" s="34">
        <f>INDEX(U:U, MATCH(G102, T:T, 0))*F102</f>
        <v>0</v>
      </c>
      <c r="I102" s="34">
        <f t="shared" si="2"/>
        <v>0</v>
      </c>
      <c r="J102" s="34">
        <f t="shared" si="3"/>
        <v>0</v>
      </c>
    </row>
    <row r="103" spans="1:10" ht="18" customHeight="1" x14ac:dyDescent="0.35">
      <c r="A103" s="9">
        <v>629</v>
      </c>
      <c r="B103" t="s">
        <v>17</v>
      </c>
      <c r="C103" t="s">
        <v>17</v>
      </c>
      <c r="D103" t="s">
        <v>17</v>
      </c>
      <c r="E103" t="s">
        <v>17</v>
      </c>
      <c r="F103" s="23">
        <v>0</v>
      </c>
      <c r="G103" s="19" t="s">
        <v>9</v>
      </c>
      <c r="H103" s="34">
        <f>INDEX(U:U, MATCH(G103, T:T, 0))*F103</f>
        <v>0</v>
      </c>
      <c r="I103" s="34">
        <f t="shared" si="2"/>
        <v>0</v>
      </c>
      <c r="J103" s="34">
        <f t="shared" si="3"/>
        <v>0</v>
      </c>
    </row>
    <row r="104" spans="1:10" ht="18" customHeight="1" x14ac:dyDescent="0.35">
      <c r="A104" s="9">
        <v>666</v>
      </c>
      <c r="B104" t="s">
        <v>17</v>
      </c>
      <c r="C104" t="s">
        <v>17</v>
      </c>
      <c r="D104" t="s">
        <v>17</v>
      </c>
      <c r="E104" t="s">
        <v>17</v>
      </c>
      <c r="F104" s="23">
        <v>0</v>
      </c>
      <c r="G104" s="19" t="s">
        <v>9</v>
      </c>
      <c r="H104" s="34">
        <f>INDEX(U:U, MATCH(G104, T:T, 0))*F104</f>
        <v>0</v>
      </c>
      <c r="I104" s="34">
        <f t="shared" si="2"/>
        <v>0</v>
      </c>
      <c r="J104" s="34">
        <f t="shared" si="3"/>
        <v>0</v>
      </c>
    </row>
    <row r="105" spans="1:10" ht="18" customHeight="1" x14ac:dyDescent="0.35">
      <c r="A105" s="9">
        <v>676</v>
      </c>
      <c r="B105" t="s">
        <v>17</v>
      </c>
      <c r="C105" t="s">
        <v>17</v>
      </c>
      <c r="D105" t="s">
        <v>17</v>
      </c>
      <c r="E105" t="s">
        <v>17</v>
      </c>
      <c r="F105" s="23">
        <v>0</v>
      </c>
      <c r="G105" s="19" t="s">
        <v>9</v>
      </c>
      <c r="H105" s="34">
        <f>INDEX(U:U, MATCH(G105, T:T, 0))*F105</f>
        <v>0</v>
      </c>
      <c r="I105" s="34">
        <f t="shared" si="2"/>
        <v>0</v>
      </c>
      <c r="J105" s="34">
        <f t="shared" si="3"/>
        <v>0</v>
      </c>
    </row>
    <row r="106" spans="1:10" ht="18" customHeight="1" x14ac:dyDescent="0.35">
      <c r="A106" s="9">
        <v>677</v>
      </c>
      <c r="B106" t="s">
        <v>17</v>
      </c>
      <c r="C106" t="s">
        <v>17</v>
      </c>
      <c r="D106" t="s">
        <v>17</v>
      </c>
      <c r="E106" t="s">
        <v>17</v>
      </c>
      <c r="F106" s="23">
        <v>0</v>
      </c>
      <c r="G106" s="19" t="s">
        <v>9</v>
      </c>
      <c r="H106" s="34">
        <f>INDEX(U:U, MATCH(G106, T:T, 0))*F106</f>
        <v>0</v>
      </c>
      <c r="I106" s="34">
        <f t="shared" si="2"/>
        <v>0</v>
      </c>
      <c r="J106" s="34">
        <f t="shared" si="3"/>
        <v>0</v>
      </c>
    </row>
    <row r="107" spans="1:10" ht="18" customHeight="1" x14ac:dyDescent="0.35">
      <c r="A107" s="9">
        <v>678</v>
      </c>
      <c r="B107" t="s">
        <v>17</v>
      </c>
      <c r="C107" t="s">
        <v>17</v>
      </c>
      <c r="D107" t="s">
        <v>17</v>
      </c>
      <c r="E107" t="s">
        <v>17</v>
      </c>
      <c r="F107" s="23">
        <v>0</v>
      </c>
      <c r="G107" s="19" t="s">
        <v>9</v>
      </c>
      <c r="H107" s="34">
        <f>INDEX(U:U, MATCH(G107, T:T, 0))*F107</f>
        <v>0</v>
      </c>
      <c r="I107" s="34">
        <f t="shared" si="2"/>
        <v>0</v>
      </c>
      <c r="J107" s="34">
        <f t="shared" si="3"/>
        <v>0</v>
      </c>
    </row>
    <row r="108" spans="1:10" ht="18" customHeight="1" x14ac:dyDescent="0.35">
      <c r="A108" s="9">
        <v>680</v>
      </c>
      <c r="B108" t="s">
        <v>17</v>
      </c>
      <c r="C108" t="s">
        <v>17</v>
      </c>
      <c r="D108" t="s">
        <v>17</v>
      </c>
      <c r="E108" t="s">
        <v>17</v>
      </c>
      <c r="F108" s="23">
        <v>0</v>
      </c>
      <c r="G108" s="19" t="s">
        <v>9</v>
      </c>
      <c r="H108" s="34">
        <f>INDEX(U:U, MATCH(G108, T:T, 0))*F108</f>
        <v>0</v>
      </c>
      <c r="I108" s="34">
        <f t="shared" si="2"/>
        <v>0</v>
      </c>
      <c r="J108" s="34">
        <f t="shared" si="3"/>
        <v>0</v>
      </c>
    </row>
    <row r="109" spans="1:10" ht="18" customHeight="1" x14ac:dyDescent="0.35">
      <c r="A109" s="9">
        <v>681</v>
      </c>
      <c r="B109" t="s">
        <v>17</v>
      </c>
      <c r="C109" t="s">
        <v>17</v>
      </c>
      <c r="D109" t="s">
        <v>17</v>
      </c>
      <c r="E109" t="s">
        <v>17</v>
      </c>
      <c r="F109" s="23">
        <v>0</v>
      </c>
      <c r="G109" s="19" t="s">
        <v>9</v>
      </c>
      <c r="H109" s="34">
        <f>INDEX(U:U, MATCH(G109, T:T, 0))*F109</f>
        <v>0</v>
      </c>
      <c r="I109" s="34">
        <f t="shared" si="2"/>
        <v>0</v>
      </c>
      <c r="J109" s="34">
        <f t="shared" si="3"/>
        <v>0</v>
      </c>
    </row>
    <row r="110" spans="1:10" ht="18" customHeight="1" x14ac:dyDescent="0.35">
      <c r="A110" s="9">
        <v>682</v>
      </c>
      <c r="B110" t="s">
        <v>17</v>
      </c>
      <c r="C110" t="s">
        <v>17</v>
      </c>
      <c r="D110" t="s">
        <v>17</v>
      </c>
      <c r="E110" t="s">
        <v>17</v>
      </c>
      <c r="F110" s="23">
        <v>0</v>
      </c>
      <c r="G110" s="19" t="s">
        <v>9</v>
      </c>
      <c r="H110" s="34">
        <f>INDEX(U:U, MATCH(G110, T:T, 0))*F110</f>
        <v>0</v>
      </c>
      <c r="I110" s="34">
        <f t="shared" si="2"/>
        <v>0</v>
      </c>
      <c r="J110" s="34">
        <f t="shared" si="3"/>
        <v>0</v>
      </c>
    </row>
    <row r="111" spans="1:10" ht="18" customHeight="1" x14ac:dyDescent="0.35">
      <c r="A111" s="9">
        <v>683</v>
      </c>
      <c r="B111" t="s">
        <v>17</v>
      </c>
      <c r="C111" t="s">
        <v>17</v>
      </c>
      <c r="D111" t="s">
        <v>17</v>
      </c>
      <c r="E111" t="s">
        <v>17</v>
      </c>
      <c r="F111" s="23">
        <v>0</v>
      </c>
      <c r="G111" s="19" t="s">
        <v>9</v>
      </c>
      <c r="H111" s="34">
        <f>INDEX(U:U, MATCH(G111, T:T, 0))*F111</f>
        <v>0</v>
      </c>
      <c r="I111" s="34">
        <f t="shared" si="2"/>
        <v>0</v>
      </c>
      <c r="J111" s="34">
        <f t="shared" si="3"/>
        <v>0</v>
      </c>
    </row>
    <row r="112" spans="1:10" ht="18" customHeight="1" x14ac:dyDescent="0.35">
      <c r="A112" s="9">
        <v>684</v>
      </c>
      <c r="B112" t="s">
        <v>17</v>
      </c>
      <c r="C112" t="s">
        <v>17</v>
      </c>
      <c r="D112" t="s">
        <v>17</v>
      </c>
      <c r="E112" t="s">
        <v>17</v>
      </c>
      <c r="F112" s="23">
        <v>0</v>
      </c>
      <c r="G112" s="19" t="s">
        <v>9</v>
      </c>
      <c r="H112" s="34">
        <f>INDEX(U:U, MATCH(G112, T:T, 0))*F112</f>
        <v>0</v>
      </c>
      <c r="I112" s="34">
        <f t="shared" si="2"/>
        <v>0</v>
      </c>
      <c r="J112" s="34">
        <f t="shared" si="3"/>
        <v>0</v>
      </c>
    </row>
    <row r="113" spans="1:16" ht="18" customHeight="1" x14ac:dyDescent="0.35">
      <c r="A113" s="9">
        <v>685</v>
      </c>
      <c r="B113" t="s">
        <v>17</v>
      </c>
      <c r="C113" t="s">
        <v>17</v>
      </c>
      <c r="D113" t="s">
        <v>17</v>
      </c>
      <c r="E113" t="s">
        <v>17</v>
      </c>
      <c r="F113" s="23">
        <v>0</v>
      </c>
      <c r="G113" s="19" t="s">
        <v>9</v>
      </c>
      <c r="H113" s="34">
        <f>INDEX(U:U, MATCH(G113, T:T, 0))*F113</f>
        <v>0</v>
      </c>
      <c r="I113" s="34">
        <f t="shared" si="2"/>
        <v>0</v>
      </c>
      <c r="J113" s="34">
        <f t="shared" si="3"/>
        <v>0</v>
      </c>
    </row>
    <row r="114" spans="1:16" ht="18" customHeight="1" x14ac:dyDescent="0.35">
      <c r="A114" s="9">
        <v>701</v>
      </c>
      <c r="B114" t="s">
        <v>17</v>
      </c>
      <c r="C114" t="s">
        <v>17</v>
      </c>
      <c r="D114" t="s">
        <v>17</v>
      </c>
      <c r="E114" t="s">
        <v>17</v>
      </c>
      <c r="F114" s="23">
        <v>0</v>
      </c>
      <c r="G114" s="19" t="s">
        <v>9</v>
      </c>
      <c r="H114" s="34">
        <f>INDEX(U:U, MATCH(G114, T:T, 0))*F114</f>
        <v>0</v>
      </c>
      <c r="I114" s="34">
        <f t="shared" si="2"/>
        <v>0</v>
      </c>
      <c r="J114" s="34">
        <f t="shared" si="3"/>
        <v>0</v>
      </c>
    </row>
    <row r="115" spans="1:16" ht="18" customHeight="1" x14ac:dyDescent="0.35">
      <c r="A115" s="9">
        <v>703</v>
      </c>
      <c r="B115" t="s">
        <v>17</v>
      </c>
      <c r="C115" t="s">
        <v>17</v>
      </c>
      <c r="D115" t="s">
        <v>17</v>
      </c>
      <c r="E115" t="s">
        <v>17</v>
      </c>
      <c r="F115" s="23">
        <v>0</v>
      </c>
      <c r="G115" s="19" t="s">
        <v>9</v>
      </c>
      <c r="H115" s="34">
        <f>INDEX(U:U, MATCH(G115, T:T, 0))*F115</f>
        <v>0</v>
      </c>
      <c r="I115" s="34">
        <f t="shared" si="2"/>
        <v>0</v>
      </c>
      <c r="J115" s="34">
        <f t="shared" si="3"/>
        <v>0</v>
      </c>
    </row>
    <row r="116" spans="1:16" ht="18" customHeight="1" x14ac:dyDescent="0.35">
      <c r="A116" s="9">
        <v>704</v>
      </c>
      <c r="B116" t="s">
        <v>17</v>
      </c>
      <c r="C116" t="s">
        <v>17</v>
      </c>
      <c r="D116" t="s">
        <v>17</v>
      </c>
      <c r="E116" t="s">
        <v>17</v>
      </c>
      <c r="F116" s="23">
        <v>0</v>
      </c>
      <c r="G116" s="19" t="s">
        <v>9</v>
      </c>
      <c r="H116" s="34">
        <f>INDEX(U:U, MATCH(G116, T:T, 0))*F116</f>
        <v>0</v>
      </c>
      <c r="I116" s="34">
        <f t="shared" si="2"/>
        <v>0</v>
      </c>
      <c r="J116" s="34">
        <f t="shared" si="3"/>
        <v>0</v>
      </c>
    </row>
    <row r="117" spans="1:16" ht="18" customHeight="1" x14ac:dyDescent="0.35">
      <c r="A117" s="9">
        <v>705</v>
      </c>
      <c r="B117" t="s">
        <v>17</v>
      </c>
      <c r="C117" t="s">
        <v>17</v>
      </c>
      <c r="D117" t="s">
        <v>17</v>
      </c>
      <c r="E117" t="s">
        <v>17</v>
      </c>
      <c r="F117" s="23">
        <v>0</v>
      </c>
      <c r="G117" s="19" t="s">
        <v>9</v>
      </c>
      <c r="H117" s="34">
        <f>INDEX(U:U, MATCH(G117, T:T, 0))*F117</f>
        <v>0</v>
      </c>
      <c r="I117" s="34">
        <f t="shared" si="2"/>
        <v>0</v>
      </c>
      <c r="J117" s="34">
        <f t="shared" si="3"/>
        <v>0</v>
      </c>
    </row>
    <row r="118" spans="1:16" ht="18" customHeight="1" x14ac:dyDescent="0.35">
      <c r="A118" s="9">
        <v>716</v>
      </c>
      <c r="B118" t="s">
        <v>17</v>
      </c>
      <c r="C118" t="s">
        <v>17</v>
      </c>
      <c r="D118" t="s">
        <v>17</v>
      </c>
      <c r="E118" t="s">
        <v>17</v>
      </c>
      <c r="F118" s="23">
        <v>0</v>
      </c>
      <c r="G118" s="19" t="s">
        <v>9</v>
      </c>
      <c r="H118" s="34">
        <f>INDEX(U:U, MATCH(G118, T:T, 0))*F118</f>
        <v>0</v>
      </c>
      <c r="I118" s="34">
        <f t="shared" si="2"/>
        <v>0</v>
      </c>
      <c r="J118" s="34">
        <f t="shared" si="3"/>
        <v>0</v>
      </c>
    </row>
    <row r="119" spans="1:16" ht="18" customHeight="1" x14ac:dyDescent="0.35">
      <c r="A119" s="9">
        <v>717</v>
      </c>
      <c r="B119" t="s">
        <v>17</v>
      </c>
      <c r="C119" t="s">
        <v>17</v>
      </c>
      <c r="D119" t="s">
        <v>17</v>
      </c>
      <c r="E119" t="s">
        <v>17</v>
      </c>
      <c r="F119" s="23">
        <v>0</v>
      </c>
      <c r="G119" s="19" t="s">
        <v>9</v>
      </c>
      <c r="H119" s="34">
        <f>INDEX(U:U, MATCH(G119, T:T, 0))*F119</f>
        <v>0</v>
      </c>
      <c r="I119" s="34">
        <f t="shared" si="2"/>
        <v>0</v>
      </c>
      <c r="J119" s="34">
        <f t="shared" si="3"/>
        <v>0</v>
      </c>
    </row>
    <row r="120" spans="1:16" ht="18" customHeight="1" x14ac:dyDescent="0.35">
      <c r="A120" s="9">
        <v>721</v>
      </c>
      <c r="B120" t="s">
        <v>17</v>
      </c>
      <c r="C120" t="s">
        <v>17</v>
      </c>
      <c r="D120" t="s">
        <v>17</v>
      </c>
      <c r="E120" t="s">
        <v>17</v>
      </c>
      <c r="F120" s="23">
        <v>0</v>
      </c>
      <c r="G120" s="19" t="s">
        <v>9</v>
      </c>
      <c r="H120" s="34">
        <f>INDEX(U:U, MATCH(G120, T:T, 0))*F120</f>
        <v>0</v>
      </c>
      <c r="I120" s="34">
        <f t="shared" si="2"/>
        <v>0</v>
      </c>
      <c r="J120" s="34">
        <f t="shared" si="3"/>
        <v>0</v>
      </c>
    </row>
    <row r="121" spans="1:16" ht="18" customHeight="1" x14ac:dyDescent="0.35">
      <c r="A121" s="9">
        <v>737</v>
      </c>
      <c r="B121" t="s">
        <v>17</v>
      </c>
      <c r="C121" t="s">
        <v>17</v>
      </c>
      <c r="D121" t="s">
        <v>17</v>
      </c>
      <c r="E121" t="s">
        <v>17</v>
      </c>
      <c r="F121" s="23">
        <v>0</v>
      </c>
      <c r="G121" s="19" t="s">
        <v>9</v>
      </c>
      <c r="H121" s="34">
        <f>INDEX(U:U, MATCH(G121, T:T, 0))*F121</f>
        <v>0</v>
      </c>
      <c r="I121" s="34">
        <f t="shared" si="2"/>
        <v>0</v>
      </c>
      <c r="J121" s="34">
        <f t="shared" si="3"/>
        <v>0</v>
      </c>
    </row>
    <row r="122" spans="1:16" ht="18" customHeight="1" x14ac:dyDescent="0.35">
      <c r="A122" s="9">
        <v>739</v>
      </c>
      <c r="B122" t="s">
        <v>17</v>
      </c>
      <c r="C122" t="s">
        <v>17</v>
      </c>
      <c r="D122" t="s">
        <v>17</v>
      </c>
      <c r="E122" t="s">
        <v>17</v>
      </c>
      <c r="F122" s="23">
        <v>0</v>
      </c>
      <c r="G122" s="19" t="s">
        <v>9</v>
      </c>
      <c r="H122" s="34">
        <f>INDEX(U:U, MATCH(G122, T:T, 0))*F122</f>
        <v>0</v>
      </c>
      <c r="I122" s="34">
        <f t="shared" si="2"/>
        <v>0</v>
      </c>
      <c r="J122" s="34">
        <f t="shared" si="3"/>
        <v>0</v>
      </c>
    </row>
    <row r="123" spans="1:16" ht="18" customHeight="1" x14ac:dyDescent="0.35">
      <c r="A123" s="9">
        <v>81</v>
      </c>
      <c r="B123" t="s">
        <v>17</v>
      </c>
      <c r="C123" t="s">
        <v>18</v>
      </c>
      <c r="D123" t="s">
        <v>17</v>
      </c>
      <c r="E123" t="s">
        <v>20</v>
      </c>
      <c r="F123" s="23">
        <v>70</v>
      </c>
      <c r="G123" s="19" t="s">
        <v>10</v>
      </c>
      <c r="H123" s="34">
        <f>INDEX(U:U, MATCH(G123, T:T, 0))*F123</f>
        <v>70</v>
      </c>
      <c r="I123" s="34">
        <f t="shared" si="2"/>
        <v>1</v>
      </c>
      <c r="J123" s="34">
        <f t="shared" si="3"/>
        <v>1</v>
      </c>
      <c r="K123" s="41" t="s">
        <v>79</v>
      </c>
    </row>
    <row r="124" spans="1:16" ht="18" customHeight="1" x14ac:dyDescent="0.35">
      <c r="A124" s="9">
        <v>118</v>
      </c>
      <c r="B124" t="s">
        <v>17</v>
      </c>
      <c r="C124" t="s">
        <v>17</v>
      </c>
      <c r="D124" t="s">
        <v>17</v>
      </c>
      <c r="E124" t="s">
        <v>20</v>
      </c>
      <c r="F124" s="23">
        <v>20</v>
      </c>
      <c r="G124" s="19" t="s">
        <v>10</v>
      </c>
      <c r="H124" s="34">
        <f>INDEX(U:U, MATCH(G124, T:T, 0))*F124</f>
        <v>20</v>
      </c>
      <c r="I124" s="34">
        <f t="shared" si="2"/>
        <v>1</v>
      </c>
      <c r="J124" s="34">
        <f t="shared" si="3"/>
        <v>1</v>
      </c>
    </row>
    <row r="125" spans="1:16" ht="18" customHeight="1" x14ac:dyDescent="0.35">
      <c r="A125" s="9">
        <v>119</v>
      </c>
      <c r="B125" t="s">
        <v>17</v>
      </c>
      <c r="C125" t="s">
        <v>18</v>
      </c>
      <c r="D125" t="s">
        <v>18</v>
      </c>
      <c r="E125" t="s">
        <v>20</v>
      </c>
      <c r="F125" s="23">
        <v>50</v>
      </c>
      <c r="G125" s="19" t="s">
        <v>10</v>
      </c>
      <c r="H125" s="34">
        <f>INDEX(U:U, MATCH(G125, T:T, 0))*F125</f>
        <v>50</v>
      </c>
      <c r="I125" s="34">
        <f t="shared" si="2"/>
        <v>1</v>
      </c>
      <c r="J125" s="34">
        <f t="shared" si="3"/>
        <v>1</v>
      </c>
      <c r="K125" s="41" t="s">
        <v>75</v>
      </c>
      <c r="L125" s="9" t="s">
        <v>107</v>
      </c>
      <c r="N125" s="1" t="s">
        <v>13</v>
      </c>
      <c r="O125" s="1">
        <f>INDEX(W:W, MATCH(N125, V:V, 0))*F125</f>
        <v>50</v>
      </c>
      <c r="P125" s="19">
        <f>H125-O125</f>
        <v>0</v>
      </c>
    </row>
    <row r="126" spans="1:16" ht="18" customHeight="1" x14ac:dyDescent="0.35">
      <c r="A126" s="9">
        <v>120</v>
      </c>
      <c r="B126" t="s">
        <v>17</v>
      </c>
      <c r="C126" t="s">
        <v>17</v>
      </c>
      <c r="D126" t="s">
        <v>17</v>
      </c>
      <c r="E126" t="s">
        <v>20</v>
      </c>
      <c r="F126" s="23">
        <v>20</v>
      </c>
      <c r="G126" s="19" t="s">
        <v>10</v>
      </c>
      <c r="H126" s="34">
        <f>INDEX(U:U, MATCH(G126, T:T, 0))*F126</f>
        <v>20</v>
      </c>
      <c r="I126" s="34">
        <f t="shared" si="2"/>
        <v>1</v>
      </c>
      <c r="J126" s="34">
        <f t="shared" si="3"/>
        <v>1</v>
      </c>
      <c r="K126" s="41" t="s">
        <v>86</v>
      </c>
    </row>
    <row r="127" spans="1:16" ht="18" customHeight="1" x14ac:dyDescent="0.35">
      <c r="A127" s="9">
        <v>122</v>
      </c>
      <c r="B127" t="s">
        <v>17</v>
      </c>
      <c r="C127" t="s">
        <v>18</v>
      </c>
      <c r="D127" t="s">
        <v>17</v>
      </c>
      <c r="E127" t="s">
        <v>20</v>
      </c>
      <c r="F127" s="23">
        <v>50</v>
      </c>
      <c r="G127" s="19" t="s">
        <v>10</v>
      </c>
      <c r="H127" s="34">
        <f>INDEX(U:U, MATCH(G127, T:T, 0))*F127</f>
        <v>50</v>
      </c>
      <c r="I127" s="34">
        <f t="shared" si="2"/>
        <v>1</v>
      </c>
      <c r="J127" s="34">
        <f t="shared" si="3"/>
        <v>1</v>
      </c>
      <c r="K127" s="41" t="s">
        <v>72</v>
      </c>
    </row>
    <row r="128" spans="1:16" ht="18" customHeight="1" x14ac:dyDescent="0.35">
      <c r="A128" s="9">
        <v>155</v>
      </c>
      <c r="B128" t="s">
        <v>17</v>
      </c>
      <c r="C128" t="s">
        <v>17</v>
      </c>
      <c r="D128" t="s">
        <v>17</v>
      </c>
      <c r="E128" t="s">
        <v>20</v>
      </c>
      <c r="F128" s="23">
        <v>30</v>
      </c>
      <c r="G128" s="19" t="s">
        <v>10</v>
      </c>
      <c r="H128" s="34">
        <f>INDEX(U:U, MATCH(G128, T:T, 0))*F128</f>
        <v>30</v>
      </c>
      <c r="I128" s="34">
        <f t="shared" si="2"/>
        <v>1</v>
      </c>
      <c r="J128" s="34">
        <f t="shared" si="3"/>
        <v>1</v>
      </c>
    </row>
    <row r="129" spans="1:18" ht="18" customHeight="1" x14ac:dyDescent="0.35">
      <c r="A129" s="9">
        <v>160</v>
      </c>
      <c r="B129" t="s">
        <v>17</v>
      </c>
      <c r="C129" t="s">
        <v>18</v>
      </c>
      <c r="D129" t="s">
        <v>17</v>
      </c>
      <c r="E129" t="s">
        <v>20</v>
      </c>
      <c r="F129" s="23">
        <v>60</v>
      </c>
      <c r="G129" s="19" t="s">
        <v>10</v>
      </c>
      <c r="H129" s="34">
        <f>INDEX(U:U, MATCH(G129, T:T, 0))*F129</f>
        <v>60</v>
      </c>
      <c r="I129" s="34">
        <f t="shared" si="2"/>
        <v>1</v>
      </c>
      <c r="J129" s="34">
        <f t="shared" si="3"/>
        <v>1</v>
      </c>
      <c r="K129" s="41" t="s">
        <v>25</v>
      </c>
    </row>
    <row r="130" spans="1:18" ht="18" customHeight="1" x14ac:dyDescent="0.35">
      <c r="A130" s="9">
        <v>174</v>
      </c>
      <c r="B130" t="s">
        <v>18</v>
      </c>
      <c r="C130" t="s">
        <v>18</v>
      </c>
      <c r="D130" t="s">
        <v>17</v>
      </c>
      <c r="E130" t="s">
        <v>20</v>
      </c>
      <c r="F130" s="23">
        <v>30</v>
      </c>
      <c r="G130" s="19" t="s">
        <v>10</v>
      </c>
      <c r="H130" s="34">
        <f>INDEX(U:U, MATCH(G130, T:T, 0))*F130</f>
        <v>30</v>
      </c>
      <c r="I130" s="34">
        <f t="shared" si="2"/>
        <v>1</v>
      </c>
      <c r="J130" s="34">
        <f t="shared" si="3"/>
        <v>1</v>
      </c>
      <c r="K130" s="41" t="s">
        <v>80</v>
      </c>
    </row>
    <row r="131" spans="1:18" ht="18" customHeight="1" x14ac:dyDescent="0.35">
      <c r="A131" s="9">
        <v>214</v>
      </c>
      <c r="B131" t="s">
        <v>17</v>
      </c>
      <c r="C131" t="s">
        <v>18</v>
      </c>
      <c r="D131" t="s">
        <v>17</v>
      </c>
      <c r="E131" t="s">
        <v>20</v>
      </c>
      <c r="F131" s="23">
        <v>5</v>
      </c>
      <c r="G131" s="19" t="s">
        <v>10</v>
      </c>
      <c r="H131" s="34">
        <f>INDEX(U:U, MATCH(G131, T:T, 0))*F131</f>
        <v>5</v>
      </c>
      <c r="I131" s="34">
        <f t="shared" ref="I131:I194" si="4">IF(COUNTIF($T$3:$T$6, G131) &gt; 0, 0, 1)</f>
        <v>1</v>
      </c>
      <c r="J131" s="34">
        <f t="shared" ref="J131:J194" si="5">IF(COUNTIF(T$3:T$5, G131) &gt; 0, 0, 1)</f>
        <v>1</v>
      </c>
      <c r="K131" s="41" t="s">
        <v>36</v>
      </c>
    </row>
    <row r="132" spans="1:18" ht="18" customHeight="1" x14ac:dyDescent="0.35">
      <c r="A132" s="9">
        <v>230</v>
      </c>
      <c r="B132" t="s">
        <v>17</v>
      </c>
      <c r="C132" t="s">
        <v>18</v>
      </c>
      <c r="D132" t="s">
        <v>18</v>
      </c>
      <c r="E132" t="s">
        <v>20</v>
      </c>
      <c r="F132" s="23">
        <v>70</v>
      </c>
      <c r="G132" s="19" t="s">
        <v>10</v>
      </c>
      <c r="H132" s="34">
        <f>INDEX(U:U, MATCH(G132, T:T, 0))*F132</f>
        <v>70</v>
      </c>
      <c r="I132" s="34">
        <f t="shared" si="4"/>
        <v>1</v>
      </c>
      <c r="J132" s="34">
        <f t="shared" si="5"/>
        <v>1</v>
      </c>
      <c r="L132" s="9" t="s">
        <v>118</v>
      </c>
      <c r="N132" s="1" t="s">
        <v>13</v>
      </c>
      <c r="O132" s="1">
        <f>INDEX(W:W, MATCH(N132, V:V, 0))*F132</f>
        <v>70</v>
      </c>
      <c r="P132" s="19">
        <f>H132-O132</f>
        <v>0</v>
      </c>
    </row>
    <row r="133" spans="1:18" ht="18" customHeight="1" x14ac:dyDescent="0.35">
      <c r="A133" s="9">
        <v>233</v>
      </c>
      <c r="B133" t="s">
        <v>17</v>
      </c>
      <c r="C133" t="s">
        <v>18</v>
      </c>
      <c r="D133" t="s">
        <v>17</v>
      </c>
      <c r="E133" t="s">
        <v>20</v>
      </c>
      <c r="F133" s="23">
        <v>20</v>
      </c>
      <c r="G133" s="19" t="s">
        <v>10</v>
      </c>
      <c r="H133" s="34">
        <f>INDEX(U:U, MATCH(G133, T:T, 0))*F133</f>
        <v>20</v>
      </c>
      <c r="I133" s="34">
        <f t="shared" si="4"/>
        <v>1</v>
      </c>
      <c r="J133" s="34">
        <f t="shared" si="5"/>
        <v>1</v>
      </c>
      <c r="K133" s="41" t="s">
        <v>78</v>
      </c>
    </row>
    <row r="134" spans="1:18" ht="18" customHeight="1" x14ac:dyDescent="0.35">
      <c r="A134" s="9">
        <v>246</v>
      </c>
      <c r="B134" t="s">
        <v>17</v>
      </c>
      <c r="C134" t="s">
        <v>17</v>
      </c>
      <c r="D134" t="s">
        <v>17</v>
      </c>
      <c r="E134" t="s">
        <v>20</v>
      </c>
      <c r="F134" s="23">
        <v>20</v>
      </c>
      <c r="G134" s="19" t="s">
        <v>10</v>
      </c>
      <c r="H134" s="34">
        <f>INDEX(U:U, MATCH(G134, T:T, 0))*F134</f>
        <v>20</v>
      </c>
      <c r="I134" s="34">
        <f t="shared" si="4"/>
        <v>1</v>
      </c>
      <c r="J134" s="34">
        <f t="shared" si="5"/>
        <v>1</v>
      </c>
      <c r="K134" s="41" t="s">
        <v>54</v>
      </c>
    </row>
    <row r="135" spans="1:18" ht="18" customHeight="1" x14ac:dyDescent="0.35">
      <c r="A135" s="9">
        <v>247</v>
      </c>
      <c r="B135" t="s">
        <v>17</v>
      </c>
      <c r="C135" t="s">
        <v>18</v>
      </c>
      <c r="D135" t="s">
        <v>18</v>
      </c>
      <c r="E135" t="s">
        <v>20</v>
      </c>
      <c r="F135" s="23">
        <v>40</v>
      </c>
      <c r="G135" s="19" t="s">
        <v>10</v>
      </c>
      <c r="H135" s="34">
        <f>INDEX(U:U, MATCH(G135, T:T, 0))*F135</f>
        <v>40</v>
      </c>
      <c r="I135" s="34">
        <f t="shared" si="4"/>
        <v>1</v>
      </c>
      <c r="J135" s="34">
        <f t="shared" si="5"/>
        <v>1</v>
      </c>
      <c r="K135" s="41" t="s">
        <v>70</v>
      </c>
    </row>
    <row r="136" spans="1:18" ht="18" customHeight="1" x14ac:dyDescent="0.35">
      <c r="A136" s="9">
        <v>266</v>
      </c>
      <c r="B136" t="s">
        <v>17</v>
      </c>
      <c r="C136" t="s">
        <v>18</v>
      </c>
      <c r="D136" t="s">
        <v>17</v>
      </c>
      <c r="E136" t="s">
        <v>20</v>
      </c>
      <c r="F136" s="23">
        <v>20</v>
      </c>
      <c r="G136" s="19" t="s">
        <v>10</v>
      </c>
      <c r="H136" s="34">
        <f>INDEX(U:U, MATCH(G136, T:T, 0))*F136</f>
        <v>20</v>
      </c>
      <c r="I136" s="34">
        <f t="shared" si="4"/>
        <v>1</v>
      </c>
      <c r="J136" s="34">
        <f t="shared" si="5"/>
        <v>1</v>
      </c>
      <c r="K136" s="41" t="s">
        <v>41</v>
      </c>
    </row>
    <row r="137" spans="1:18" ht="18" customHeight="1" x14ac:dyDescent="0.35">
      <c r="A137" s="9">
        <v>268</v>
      </c>
      <c r="B137" t="s">
        <v>18</v>
      </c>
      <c r="C137" t="s">
        <v>17</v>
      </c>
      <c r="D137" t="s">
        <v>17</v>
      </c>
      <c r="E137" t="s">
        <v>20</v>
      </c>
      <c r="F137" s="23">
        <v>40</v>
      </c>
      <c r="G137" s="19" t="s">
        <v>10</v>
      </c>
      <c r="H137" s="34">
        <f>INDEX(U:U, MATCH(G137, T:T, 0))*F137</f>
        <v>40</v>
      </c>
      <c r="I137" s="34">
        <f t="shared" si="4"/>
        <v>1</v>
      </c>
      <c r="J137" s="34">
        <f t="shared" si="5"/>
        <v>1</v>
      </c>
      <c r="K137" s="41" t="s">
        <v>30</v>
      </c>
    </row>
    <row r="138" spans="1:18" ht="18" customHeight="1" x14ac:dyDescent="0.35">
      <c r="A138" s="9">
        <v>270</v>
      </c>
      <c r="B138" t="s">
        <v>17</v>
      </c>
      <c r="C138" t="s">
        <v>17</v>
      </c>
      <c r="D138" t="s">
        <v>17</v>
      </c>
      <c r="E138" t="s">
        <v>20</v>
      </c>
      <c r="F138" s="23">
        <v>80</v>
      </c>
      <c r="G138" s="19" t="s">
        <v>10</v>
      </c>
      <c r="H138" s="34">
        <f>INDEX(U:U, MATCH(G138, T:T, 0))*F138</f>
        <v>80</v>
      </c>
      <c r="I138" s="34">
        <f t="shared" si="4"/>
        <v>1</v>
      </c>
      <c r="J138" s="34">
        <f t="shared" si="5"/>
        <v>1</v>
      </c>
    </row>
    <row r="139" spans="1:18" ht="18" customHeight="1" x14ac:dyDescent="0.35">
      <c r="A139" s="9">
        <v>383</v>
      </c>
      <c r="B139" t="s">
        <v>17</v>
      </c>
      <c r="C139" t="s">
        <v>18</v>
      </c>
      <c r="D139" t="s">
        <v>17</v>
      </c>
      <c r="E139" t="s">
        <v>20</v>
      </c>
      <c r="F139" s="23">
        <v>40</v>
      </c>
      <c r="G139" s="19" t="s">
        <v>10</v>
      </c>
      <c r="H139" s="34">
        <f>INDEX(U:U, MATCH(G139, T:T, 0))*F139</f>
        <v>40</v>
      </c>
      <c r="I139" s="34">
        <f t="shared" si="4"/>
        <v>1</v>
      </c>
      <c r="J139" s="34">
        <f t="shared" si="5"/>
        <v>1</v>
      </c>
      <c r="K139" s="41" t="s">
        <v>87</v>
      </c>
      <c r="L139" s="9" t="s">
        <v>105</v>
      </c>
    </row>
    <row r="140" spans="1:18" ht="18" customHeight="1" x14ac:dyDescent="0.35">
      <c r="A140" s="9">
        <v>385</v>
      </c>
      <c r="B140" t="s">
        <v>17</v>
      </c>
      <c r="C140" t="s">
        <v>18</v>
      </c>
      <c r="D140" t="s">
        <v>17</v>
      </c>
      <c r="E140" t="s">
        <v>20</v>
      </c>
      <c r="F140" s="23">
        <v>40</v>
      </c>
      <c r="G140" s="19" t="s">
        <v>10</v>
      </c>
      <c r="H140" s="34">
        <f>INDEX(U:U, MATCH(G140, T:T, 0))*F140</f>
        <v>40</v>
      </c>
      <c r="I140" s="34">
        <f t="shared" si="4"/>
        <v>1</v>
      </c>
      <c r="J140" s="34">
        <f t="shared" si="5"/>
        <v>1</v>
      </c>
      <c r="K140" s="41" t="s">
        <v>58</v>
      </c>
    </row>
    <row r="141" spans="1:18" ht="18" customHeight="1" x14ac:dyDescent="0.35">
      <c r="A141" s="9">
        <v>424</v>
      </c>
      <c r="B141" t="s">
        <v>18</v>
      </c>
      <c r="C141" t="s">
        <v>17</v>
      </c>
      <c r="D141" t="s">
        <v>17</v>
      </c>
      <c r="E141" t="s">
        <v>20</v>
      </c>
      <c r="F141" s="23">
        <v>40</v>
      </c>
      <c r="G141" s="19" t="s">
        <v>10</v>
      </c>
      <c r="H141" s="34">
        <f>INDEX(U:U, MATCH(G141, T:T, 0))*F141</f>
        <v>40</v>
      </c>
      <c r="I141" s="34">
        <f t="shared" si="4"/>
        <v>1</v>
      </c>
      <c r="J141" s="34">
        <f t="shared" si="5"/>
        <v>1</v>
      </c>
      <c r="K141" s="41" t="s">
        <v>51</v>
      </c>
      <c r="L141" s="9" t="s">
        <v>105</v>
      </c>
      <c r="M141" s="1">
        <v>25</v>
      </c>
      <c r="N141" s="1" t="s">
        <v>10</v>
      </c>
      <c r="O141" s="1">
        <f>INDEX(W:W, MATCH(N141, V:V, 0))*F141</f>
        <v>40</v>
      </c>
      <c r="P141" s="19">
        <f>H141-O141</f>
        <v>0</v>
      </c>
      <c r="Q141" s="19">
        <f>M141-F141</f>
        <v>-15</v>
      </c>
      <c r="R141" s="49" t="s">
        <v>117</v>
      </c>
    </row>
    <row r="142" spans="1:18" ht="18" customHeight="1" x14ac:dyDescent="0.35">
      <c r="A142" s="9">
        <v>440</v>
      </c>
      <c r="B142" t="s">
        <v>17</v>
      </c>
      <c r="C142" t="s">
        <v>18</v>
      </c>
      <c r="D142" t="s">
        <v>17</v>
      </c>
      <c r="E142" t="s">
        <v>20</v>
      </c>
      <c r="F142" s="23">
        <v>25</v>
      </c>
      <c r="G142" s="19" t="s">
        <v>10</v>
      </c>
      <c r="H142" s="34">
        <f>INDEX(U:U, MATCH(G142, T:T, 0))*F142</f>
        <v>25</v>
      </c>
      <c r="I142" s="34">
        <f t="shared" si="4"/>
        <v>1</v>
      </c>
      <c r="J142" s="34">
        <f t="shared" si="5"/>
        <v>1</v>
      </c>
      <c r="K142" s="41" t="s">
        <v>30</v>
      </c>
    </row>
    <row r="143" spans="1:18" ht="18" customHeight="1" x14ac:dyDescent="0.35">
      <c r="A143" s="9">
        <v>460</v>
      </c>
      <c r="B143" t="s">
        <v>17</v>
      </c>
      <c r="C143" t="s">
        <v>18</v>
      </c>
      <c r="D143" t="s">
        <v>18</v>
      </c>
      <c r="E143" t="s">
        <v>20</v>
      </c>
      <c r="F143" s="23">
        <v>80</v>
      </c>
      <c r="G143" s="19" t="s">
        <v>10</v>
      </c>
      <c r="H143" s="34">
        <f>INDEX(U:U, MATCH(G143, T:T, 0))*F143</f>
        <v>80</v>
      </c>
      <c r="I143" s="34">
        <f t="shared" si="4"/>
        <v>1</v>
      </c>
      <c r="J143" s="34">
        <f t="shared" si="5"/>
        <v>1</v>
      </c>
    </row>
    <row r="144" spans="1:18" ht="18" customHeight="1" x14ac:dyDescent="0.35">
      <c r="A144" s="9">
        <v>647</v>
      </c>
      <c r="B144" t="s">
        <v>18</v>
      </c>
      <c r="C144" t="s">
        <v>17</v>
      </c>
      <c r="D144" t="s">
        <v>17</v>
      </c>
      <c r="E144" t="s">
        <v>20</v>
      </c>
      <c r="F144" s="23">
        <v>10</v>
      </c>
      <c r="G144" s="19" t="s">
        <v>10</v>
      </c>
      <c r="H144" s="34">
        <f>INDEX(U:U, MATCH(G144, T:T, 0))*F144</f>
        <v>10</v>
      </c>
      <c r="I144" s="34">
        <f t="shared" si="4"/>
        <v>1</v>
      </c>
      <c r="J144" s="34">
        <f t="shared" si="5"/>
        <v>1</v>
      </c>
      <c r="K144" s="41" t="s">
        <v>60</v>
      </c>
      <c r="L144" s="9" t="s">
        <v>105</v>
      </c>
      <c r="N144" s="1" t="s">
        <v>10</v>
      </c>
      <c r="O144" s="1">
        <f>INDEX(W:W, MATCH(N144, V:V, 0))*F144</f>
        <v>10</v>
      </c>
      <c r="P144" s="19">
        <f>H144-O144</f>
        <v>0</v>
      </c>
    </row>
    <row r="145" spans="1:11" ht="18" customHeight="1" x14ac:dyDescent="0.35">
      <c r="A145" s="9">
        <v>662</v>
      </c>
      <c r="B145" t="s">
        <v>17</v>
      </c>
      <c r="C145" t="s">
        <v>17</v>
      </c>
      <c r="D145" t="s">
        <v>17</v>
      </c>
      <c r="E145" t="s">
        <v>20</v>
      </c>
      <c r="F145" s="23">
        <v>30</v>
      </c>
      <c r="G145" s="19" t="s">
        <v>10</v>
      </c>
      <c r="H145" s="34">
        <f>INDEX(U:U, MATCH(G145, T:T, 0))*F145</f>
        <v>30</v>
      </c>
      <c r="I145" s="34">
        <f t="shared" si="4"/>
        <v>1</v>
      </c>
      <c r="J145" s="34">
        <f t="shared" si="5"/>
        <v>1</v>
      </c>
    </row>
    <row r="146" spans="1:11" ht="18" customHeight="1" x14ac:dyDescent="0.35">
      <c r="A146" s="9">
        <v>700</v>
      </c>
      <c r="B146" t="s">
        <v>17</v>
      </c>
      <c r="C146" t="s">
        <v>18</v>
      </c>
      <c r="D146" t="s">
        <v>17</v>
      </c>
      <c r="E146" t="s">
        <v>20</v>
      </c>
      <c r="F146" s="23">
        <v>50</v>
      </c>
      <c r="G146" s="19" t="s">
        <v>10</v>
      </c>
      <c r="H146" s="34">
        <f>INDEX(U:U, MATCH(G146, T:T, 0))*F146</f>
        <v>50</v>
      </c>
      <c r="I146" s="34">
        <f t="shared" si="4"/>
        <v>1</v>
      </c>
      <c r="J146" s="34">
        <f t="shared" si="5"/>
        <v>1</v>
      </c>
    </row>
    <row r="147" spans="1:11" ht="18" customHeight="1" x14ac:dyDescent="0.35">
      <c r="A147" s="9">
        <v>719</v>
      </c>
      <c r="B147" t="s">
        <v>17</v>
      </c>
      <c r="C147" t="s">
        <v>17</v>
      </c>
      <c r="D147" t="s">
        <v>17</v>
      </c>
      <c r="E147" t="s">
        <v>20</v>
      </c>
      <c r="F147" s="23">
        <v>40</v>
      </c>
      <c r="G147" s="19" t="s">
        <v>10</v>
      </c>
      <c r="H147" s="34">
        <f>INDEX(U:U, MATCH(G147, T:T, 0))*F147</f>
        <v>40</v>
      </c>
      <c r="I147" s="34">
        <f t="shared" si="4"/>
        <v>1</v>
      </c>
      <c r="J147" s="34">
        <f t="shared" si="5"/>
        <v>1</v>
      </c>
      <c r="K147" s="41" t="s">
        <v>30</v>
      </c>
    </row>
    <row r="148" spans="1:11" ht="18" customHeight="1" x14ac:dyDescent="0.35">
      <c r="A148" s="9">
        <v>252</v>
      </c>
      <c r="B148" t="s">
        <v>17</v>
      </c>
      <c r="C148" t="s">
        <v>18</v>
      </c>
      <c r="D148" t="s">
        <v>17</v>
      </c>
      <c r="E148" t="s">
        <v>19</v>
      </c>
      <c r="F148" s="23">
        <v>1</v>
      </c>
      <c r="G148" s="19" t="s">
        <v>11</v>
      </c>
      <c r="H148" s="34">
        <f>INDEX(U:U, MATCH(G148, T:T, 0))*F148</f>
        <v>0.25</v>
      </c>
      <c r="I148" s="34">
        <f t="shared" si="4"/>
        <v>0</v>
      </c>
      <c r="J148" s="34">
        <f t="shared" si="5"/>
        <v>0</v>
      </c>
    </row>
    <row r="149" spans="1:11" ht="18" customHeight="1" x14ac:dyDescent="0.35">
      <c r="A149" s="9">
        <v>396</v>
      </c>
      <c r="B149" t="s">
        <v>17</v>
      </c>
      <c r="C149" t="s">
        <v>18</v>
      </c>
      <c r="D149" t="s">
        <v>17</v>
      </c>
      <c r="E149" t="s">
        <v>17</v>
      </c>
      <c r="F149" s="23">
        <v>5</v>
      </c>
      <c r="G149" s="19" t="s">
        <v>11</v>
      </c>
      <c r="H149" s="34">
        <f>INDEX(U:U, MATCH(G149, T:T, 0))*F149</f>
        <v>1.25</v>
      </c>
      <c r="I149" s="34">
        <f t="shared" si="4"/>
        <v>0</v>
      </c>
      <c r="J149" s="34">
        <f t="shared" si="5"/>
        <v>0</v>
      </c>
    </row>
    <row r="150" spans="1:11" ht="18" customHeight="1" x14ac:dyDescent="0.35">
      <c r="A150" s="9">
        <v>41</v>
      </c>
      <c r="B150" t="s">
        <v>17</v>
      </c>
      <c r="C150" t="s">
        <v>17</v>
      </c>
      <c r="D150" t="s">
        <v>18</v>
      </c>
      <c r="E150" t="s">
        <v>19</v>
      </c>
      <c r="F150" s="23">
        <v>5</v>
      </c>
      <c r="G150" s="19" t="s">
        <v>8</v>
      </c>
      <c r="H150" s="34">
        <f>INDEX(U:U, MATCH(G150, T:T, 0))*F150</f>
        <v>2.5</v>
      </c>
      <c r="I150" s="34">
        <f t="shared" si="4"/>
        <v>0</v>
      </c>
      <c r="J150" s="34">
        <f t="shared" si="5"/>
        <v>0</v>
      </c>
      <c r="K150" s="41" t="s">
        <v>63</v>
      </c>
    </row>
    <row r="151" spans="1:11" ht="18" customHeight="1" x14ac:dyDescent="0.35">
      <c r="A151" s="9">
        <v>46</v>
      </c>
      <c r="B151" t="s">
        <v>17</v>
      </c>
      <c r="C151" t="s">
        <v>18</v>
      </c>
      <c r="D151" t="s">
        <v>17</v>
      </c>
      <c r="E151" t="s">
        <v>19</v>
      </c>
      <c r="F151" s="23">
        <v>20</v>
      </c>
      <c r="G151" s="19" t="s">
        <v>8</v>
      </c>
      <c r="H151" s="34">
        <f>INDEX(U:U, MATCH(G151, T:T, 0))*F151</f>
        <v>10</v>
      </c>
      <c r="I151" s="34">
        <f t="shared" si="4"/>
        <v>0</v>
      </c>
      <c r="J151" s="34">
        <f t="shared" si="5"/>
        <v>0</v>
      </c>
      <c r="K151" s="41" t="s">
        <v>30</v>
      </c>
    </row>
    <row r="152" spans="1:11" ht="18" customHeight="1" x14ac:dyDescent="0.35">
      <c r="A152" s="9">
        <v>82</v>
      </c>
      <c r="B152" t="s">
        <v>17</v>
      </c>
      <c r="C152" t="s">
        <v>18</v>
      </c>
      <c r="D152" t="s">
        <v>17</v>
      </c>
      <c r="E152" t="s">
        <v>19</v>
      </c>
      <c r="F152" s="23">
        <v>10</v>
      </c>
      <c r="G152" s="19" t="s">
        <v>8</v>
      </c>
      <c r="H152" s="34">
        <f>INDEX(U:U, MATCH(G152, T:T, 0))*F152</f>
        <v>5</v>
      </c>
      <c r="I152" s="34">
        <f t="shared" si="4"/>
        <v>0</v>
      </c>
      <c r="J152" s="34">
        <f t="shared" si="5"/>
        <v>0</v>
      </c>
      <c r="K152" s="41" t="s">
        <v>85</v>
      </c>
    </row>
    <row r="153" spans="1:11" ht="18" customHeight="1" x14ac:dyDescent="0.35">
      <c r="A153" s="9">
        <v>101</v>
      </c>
      <c r="B153" t="s">
        <v>17</v>
      </c>
      <c r="C153" t="s">
        <v>18</v>
      </c>
      <c r="D153" t="s">
        <v>17</v>
      </c>
      <c r="E153" t="s">
        <v>19</v>
      </c>
      <c r="F153" s="23">
        <v>10</v>
      </c>
      <c r="G153" s="19" t="s">
        <v>8</v>
      </c>
      <c r="H153" s="34">
        <f>INDEX(U:U, MATCH(G153, T:T, 0))*F153</f>
        <v>5</v>
      </c>
      <c r="I153" s="34">
        <f t="shared" si="4"/>
        <v>0</v>
      </c>
      <c r="J153" s="34">
        <f t="shared" si="5"/>
        <v>0</v>
      </c>
    </row>
    <row r="154" spans="1:11" ht="18" customHeight="1" x14ac:dyDescent="0.35">
      <c r="A154" s="9">
        <v>102</v>
      </c>
      <c r="B154" t="s">
        <v>17</v>
      </c>
      <c r="C154" t="s">
        <v>18</v>
      </c>
      <c r="D154" t="s">
        <v>17</v>
      </c>
      <c r="E154" t="s">
        <v>19</v>
      </c>
      <c r="F154" s="23">
        <v>20</v>
      </c>
      <c r="G154" s="19" t="s">
        <v>8</v>
      </c>
      <c r="H154" s="34">
        <f>INDEX(U:U, MATCH(G154, T:T, 0))*F154</f>
        <v>10</v>
      </c>
      <c r="I154" s="34">
        <f t="shared" si="4"/>
        <v>0</v>
      </c>
      <c r="J154" s="34">
        <f t="shared" si="5"/>
        <v>0</v>
      </c>
    </row>
    <row r="155" spans="1:11" ht="18" customHeight="1" x14ac:dyDescent="0.35">
      <c r="A155" s="9">
        <v>103</v>
      </c>
      <c r="B155" t="s">
        <v>17</v>
      </c>
      <c r="C155" t="s">
        <v>18</v>
      </c>
      <c r="D155" t="s">
        <v>17</v>
      </c>
      <c r="E155" t="s">
        <v>19</v>
      </c>
      <c r="F155" s="23">
        <v>5</v>
      </c>
      <c r="G155" s="19" t="s">
        <v>8</v>
      </c>
      <c r="H155" s="34">
        <f>INDEX(U:U, MATCH(G155, T:T, 0))*F155</f>
        <v>2.5</v>
      </c>
      <c r="I155" s="34">
        <f t="shared" si="4"/>
        <v>0</v>
      </c>
      <c r="J155" s="34">
        <f t="shared" si="5"/>
        <v>0</v>
      </c>
      <c r="K155" s="41" t="s">
        <v>46</v>
      </c>
    </row>
    <row r="156" spans="1:11" ht="18" customHeight="1" x14ac:dyDescent="0.35">
      <c r="A156" s="9">
        <v>105</v>
      </c>
      <c r="B156" t="s">
        <v>17</v>
      </c>
      <c r="C156" t="s">
        <v>18</v>
      </c>
      <c r="D156" t="s">
        <v>17</v>
      </c>
      <c r="E156" t="s">
        <v>19</v>
      </c>
      <c r="F156" s="23">
        <v>10</v>
      </c>
      <c r="G156" s="19" t="s">
        <v>8</v>
      </c>
      <c r="H156" s="34">
        <f>INDEX(U:U, MATCH(G156, T:T, 0))*F156</f>
        <v>5</v>
      </c>
      <c r="I156" s="34">
        <f t="shared" si="4"/>
        <v>0</v>
      </c>
      <c r="J156" s="34">
        <f t="shared" si="5"/>
        <v>0</v>
      </c>
    </row>
    <row r="157" spans="1:11" ht="18" customHeight="1" x14ac:dyDescent="0.35">
      <c r="A157" s="9">
        <v>125</v>
      </c>
      <c r="B157" t="s">
        <v>17</v>
      </c>
      <c r="C157" t="s">
        <v>18</v>
      </c>
      <c r="D157" t="s">
        <v>17</v>
      </c>
      <c r="E157" t="s">
        <v>19</v>
      </c>
      <c r="F157" s="23">
        <v>20</v>
      </c>
      <c r="G157" s="19" t="s">
        <v>8</v>
      </c>
      <c r="H157" s="34">
        <f>INDEX(U:U, MATCH(G157, T:T, 0))*F157</f>
        <v>10</v>
      </c>
      <c r="I157" s="34">
        <f t="shared" si="4"/>
        <v>0</v>
      </c>
      <c r="J157" s="34">
        <f t="shared" si="5"/>
        <v>0</v>
      </c>
      <c r="K157" s="41" t="s">
        <v>22</v>
      </c>
    </row>
    <row r="158" spans="1:11" ht="18" customHeight="1" x14ac:dyDescent="0.35">
      <c r="A158" s="9">
        <v>157</v>
      </c>
      <c r="B158" t="s">
        <v>17</v>
      </c>
      <c r="C158" t="s">
        <v>18</v>
      </c>
      <c r="D158" t="s">
        <v>17</v>
      </c>
      <c r="E158" t="s">
        <v>19</v>
      </c>
      <c r="F158" s="23">
        <v>30</v>
      </c>
      <c r="G158" s="19" t="s">
        <v>8</v>
      </c>
      <c r="H158" s="34">
        <f>INDEX(U:U, MATCH(G158, T:T, 0))*F158</f>
        <v>15</v>
      </c>
      <c r="I158" s="34">
        <f t="shared" si="4"/>
        <v>0</v>
      </c>
      <c r="J158" s="34">
        <f t="shared" si="5"/>
        <v>0</v>
      </c>
    </row>
    <row r="159" spans="1:11" ht="18" customHeight="1" x14ac:dyDescent="0.35">
      <c r="A159" s="9">
        <v>173</v>
      </c>
      <c r="B159" t="s">
        <v>17</v>
      </c>
      <c r="C159" t="s">
        <v>18</v>
      </c>
      <c r="D159" t="s">
        <v>17</v>
      </c>
      <c r="E159" t="s">
        <v>19</v>
      </c>
      <c r="F159" s="23">
        <v>5</v>
      </c>
      <c r="G159" s="19" t="s">
        <v>8</v>
      </c>
      <c r="H159" s="34">
        <f>INDEX(U:U, MATCH(G159, T:T, 0))*F159</f>
        <v>2.5</v>
      </c>
      <c r="I159" s="34">
        <f t="shared" si="4"/>
        <v>0</v>
      </c>
      <c r="J159" s="34">
        <f t="shared" si="5"/>
        <v>0</v>
      </c>
      <c r="K159" s="41" t="s">
        <v>90</v>
      </c>
    </row>
    <row r="160" spans="1:11" ht="18" customHeight="1" x14ac:dyDescent="0.35">
      <c r="A160" s="9">
        <v>197</v>
      </c>
      <c r="B160" t="s">
        <v>17</v>
      </c>
      <c r="C160" t="s">
        <v>17</v>
      </c>
      <c r="D160" t="s">
        <v>17</v>
      </c>
      <c r="E160" t="s">
        <v>19</v>
      </c>
      <c r="F160" s="23">
        <v>5</v>
      </c>
      <c r="G160" s="19" t="s">
        <v>8</v>
      </c>
      <c r="H160" s="34">
        <f>INDEX(U:U, MATCH(G160, T:T, 0))*F160</f>
        <v>2.5</v>
      </c>
      <c r="I160" s="34">
        <f t="shared" si="4"/>
        <v>0</v>
      </c>
      <c r="J160" s="34">
        <f t="shared" si="5"/>
        <v>0</v>
      </c>
      <c r="K160" s="41" t="s">
        <v>29</v>
      </c>
    </row>
    <row r="161" spans="1:18" ht="18" customHeight="1" x14ac:dyDescent="0.35">
      <c r="A161" s="9">
        <v>216</v>
      </c>
      <c r="B161" t="s">
        <v>17</v>
      </c>
      <c r="C161" t="s">
        <v>18</v>
      </c>
      <c r="D161" t="s">
        <v>17</v>
      </c>
      <c r="E161" t="s">
        <v>19</v>
      </c>
      <c r="F161" s="23">
        <v>10</v>
      </c>
      <c r="G161" s="19" t="s">
        <v>8</v>
      </c>
      <c r="H161" s="34">
        <f>INDEX(U:U, MATCH(G161, T:T, 0))*F161</f>
        <v>5</v>
      </c>
      <c r="I161" s="34">
        <f t="shared" si="4"/>
        <v>0</v>
      </c>
      <c r="J161" s="34">
        <f t="shared" si="5"/>
        <v>0</v>
      </c>
      <c r="K161" s="41" t="s">
        <v>34</v>
      </c>
    </row>
    <row r="162" spans="1:18" ht="18" customHeight="1" x14ac:dyDescent="0.35">
      <c r="A162" s="9">
        <v>231</v>
      </c>
      <c r="B162" t="s">
        <v>17</v>
      </c>
      <c r="C162" t="s">
        <v>18</v>
      </c>
      <c r="D162" t="s">
        <v>17</v>
      </c>
      <c r="E162" t="s">
        <v>19</v>
      </c>
      <c r="F162" s="23">
        <v>20</v>
      </c>
      <c r="G162" s="19" t="s">
        <v>8</v>
      </c>
      <c r="H162" s="34">
        <f>INDEX(U:U, MATCH(G162, T:T, 0))*F162</f>
        <v>10</v>
      </c>
      <c r="I162" s="34">
        <f t="shared" si="4"/>
        <v>0</v>
      </c>
      <c r="J162" s="34">
        <f t="shared" si="5"/>
        <v>0</v>
      </c>
      <c r="K162" s="41" t="s">
        <v>22</v>
      </c>
    </row>
    <row r="163" spans="1:18" ht="18" customHeight="1" x14ac:dyDescent="0.35">
      <c r="A163" s="9">
        <v>234</v>
      </c>
      <c r="B163" t="s">
        <v>17</v>
      </c>
      <c r="C163" t="s">
        <v>18</v>
      </c>
      <c r="D163" t="s">
        <v>17</v>
      </c>
      <c r="E163" t="s">
        <v>19</v>
      </c>
      <c r="F163" s="23">
        <v>3</v>
      </c>
      <c r="G163" s="19" t="s">
        <v>8</v>
      </c>
      <c r="H163" s="34">
        <f>INDEX(U:U, MATCH(G163, T:T, 0))*F163</f>
        <v>1.5</v>
      </c>
      <c r="I163" s="34">
        <f t="shared" si="4"/>
        <v>0</v>
      </c>
      <c r="J163" s="34">
        <f t="shared" si="5"/>
        <v>0</v>
      </c>
      <c r="K163" s="41" t="s">
        <v>22</v>
      </c>
    </row>
    <row r="164" spans="1:18" ht="18" customHeight="1" x14ac:dyDescent="0.35">
      <c r="A164" s="9">
        <v>235</v>
      </c>
      <c r="B164" t="s">
        <v>18</v>
      </c>
      <c r="C164" t="s">
        <v>18</v>
      </c>
      <c r="D164" t="s">
        <v>17</v>
      </c>
      <c r="E164" t="s">
        <v>19</v>
      </c>
      <c r="F164" s="23">
        <v>5</v>
      </c>
      <c r="G164" s="19" t="s">
        <v>8</v>
      </c>
      <c r="H164" s="34">
        <f>INDEX(U:U, MATCH(G164, T:T, 0))*F164</f>
        <v>2.5</v>
      </c>
      <c r="I164" s="34">
        <f t="shared" si="4"/>
        <v>0</v>
      </c>
      <c r="J164" s="34">
        <f t="shared" si="5"/>
        <v>0</v>
      </c>
      <c r="K164" s="41" t="s">
        <v>40</v>
      </c>
    </row>
    <row r="165" spans="1:18" ht="18" customHeight="1" x14ac:dyDescent="0.35">
      <c r="A165" s="9">
        <v>250</v>
      </c>
      <c r="B165" t="s">
        <v>17</v>
      </c>
      <c r="C165" t="s">
        <v>18</v>
      </c>
      <c r="D165" t="s">
        <v>18</v>
      </c>
      <c r="E165" t="s">
        <v>19</v>
      </c>
      <c r="F165" s="23">
        <v>5</v>
      </c>
      <c r="G165" s="19" t="s">
        <v>8</v>
      </c>
      <c r="H165" s="34">
        <f>INDEX(U:U, MATCH(G165, T:T, 0))*F165</f>
        <v>2.5</v>
      </c>
      <c r="I165" s="34">
        <f t="shared" si="4"/>
        <v>0</v>
      </c>
      <c r="J165" s="34">
        <f t="shared" si="5"/>
        <v>0</v>
      </c>
    </row>
    <row r="166" spans="1:18" ht="18" customHeight="1" x14ac:dyDescent="0.35">
      <c r="A166" s="9">
        <v>251</v>
      </c>
      <c r="B166" t="s">
        <v>18</v>
      </c>
      <c r="C166" t="s">
        <v>18</v>
      </c>
      <c r="D166" t="s">
        <v>17</v>
      </c>
      <c r="E166" t="s">
        <v>21</v>
      </c>
      <c r="F166" s="23">
        <v>10</v>
      </c>
      <c r="G166" s="19" t="s">
        <v>8</v>
      </c>
      <c r="H166" s="34">
        <f>INDEX(U:U, MATCH(G166, T:T, 0))*F166</f>
        <v>5</v>
      </c>
      <c r="I166" s="34">
        <f t="shared" si="4"/>
        <v>0</v>
      </c>
      <c r="J166" s="34">
        <f t="shared" si="5"/>
        <v>0</v>
      </c>
    </row>
    <row r="167" spans="1:18" ht="18" customHeight="1" x14ac:dyDescent="0.35">
      <c r="A167" s="9">
        <v>253</v>
      </c>
      <c r="B167" t="s">
        <v>18</v>
      </c>
      <c r="C167" t="s">
        <v>18</v>
      </c>
      <c r="D167" t="s">
        <v>17</v>
      </c>
      <c r="E167" t="s">
        <v>19</v>
      </c>
      <c r="F167" s="23">
        <v>5</v>
      </c>
      <c r="G167" s="19" t="s">
        <v>8</v>
      </c>
      <c r="H167" s="34">
        <f>INDEX(U:U, MATCH(G167, T:T, 0))*F167</f>
        <v>2.5</v>
      </c>
      <c r="I167" s="34">
        <f t="shared" si="4"/>
        <v>0</v>
      </c>
      <c r="J167" s="34">
        <f t="shared" si="5"/>
        <v>0</v>
      </c>
    </row>
    <row r="168" spans="1:18" ht="18" customHeight="1" x14ac:dyDescent="0.35">
      <c r="A168" s="9">
        <v>255</v>
      </c>
      <c r="B168" t="s">
        <v>17</v>
      </c>
      <c r="C168" t="s">
        <v>18</v>
      </c>
      <c r="D168" t="s">
        <v>18</v>
      </c>
      <c r="E168" t="s">
        <v>19</v>
      </c>
      <c r="F168" s="23">
        <v>10</v>
      </c>
      <c r="G168" s="19" t="s">
        <v>8</v>
      </c>
      <c r="H168" s="34">
        <f>INDEX(U:U, MATCH(G168, T:T, 0))*F168</f>
        <v>5</v>
      </c>
      <c r="I168" s="34">
        <f t="shared" si="4"/>
        <v>0</v>
      </c>
      <c r="J168" s="34">
        <f t="shared" si="5"/>
        <v>0</v>
      </c>
    </row>
    <row r="169" spans="1:18" ht="18" customHeight="1" x14ac:dyDescent="0.35">
      <c r="A169" s="9">
        <v>271</v>
      </c>
      <c r="B169" t="s">
        <v>18</v>
      </c>
      <c r="C169" t="s">
        <v>17</v>
      </c>
      <c r="D169" t="s">
        <v>17</v>
      </c>
      <c r="E169" t="s">
        <v>19</v>
      </c>
      <c r="F169" s="23">
        <v>5</v>
      </c>
      <c r="G169" s="19" t="s">
        <v>8</v>
      </c>
      <c r="H169" s="34">
        <f>INDEX(U:U, MATCH(G169, T:T, 0))*F169</f>
        <v>2.5</v>
      </c>
      <c r="I169" s="34">
        <f t="shared" si="4"/>
        <v>0</v>
      </c>
      <c r="J169" s="34">
        <f t="shared" si="5"/>
        <v>0</v>
      </c>
      <c r="K169" s="41" t="s">
        <v>56</v>
      </c>
    </row>
    <row r="170" spans="1:18" ht="18" customHeight="1" x14ac:dyDescent="0.35">
      <c r="A170" s="9">
        <v>272</v>
      </c>
      <c r="B170" t="s">
        <v>17</v>
      </c>
      <c r="C170" t="s">
        <v>17</v>
      </c>
      <c r="D170" t="s">
        <v>17</v>
      </c>
      <c r="E170" t="s">
        <v>17</v>
      </c>
      <c r="F170" s="23">
        <v>10</v>
      </c>
      <c r="G170" s="19" t="s">
        <v>8</v>
      </c>
      <c r="H170" s="34">
        <f>INDEX(U:U, MATCH(G170, T:T, 0))*F170</f>
        <v>5</v>
      </c>
      <c r="I170" s="34">
        <f t="shared" si="4"/>
        <v>0</v>
      </c>
      <c r="J170" s="34">
        <f t="shared" si="5"/>
        <v>0</v>
      </c>
    </row>
    <row r="171" spans="1:18" ht="18" customHeight="1" x14ac:dyDescent="0.35">
      <c r="A171" s="9">
        <v>293</v>
      </c>
      <c r="B171" t="s">
        <v>17</v>
      </c>
      <c r="C171" t="s">
        <v>17</v>
      </c>
      <c r="D171" t="s">
        <v>18</v>
      </c>
      <c r="E171" t="s">
        <v>19</v>
      </c>
      <c r="F171" s="23">
        <v>5</v>
      </c>
      <c r="G171" s="19" t="s">
        <v>8</v>
      </c>
      <c r="H171" s="34">
        <f>INDEX(U:U, MATCH(G171, T:T, 0))*F171</f>
        <v>2.5</v>
      </c>
      <c r="I171" s="34">
        <f t="shared" si="4"/>
        <v>0</v>
      </c>
      <c r="J171" s="34">
        <f t="shared" si="5"/>
        <v>0</v>
      </c>
    </row>
    <row r="172" spans="1:18" ht="18" customHeight="1" x14ac:dyDescent="0.35">
      <c r="A172" s="9">
        <v>301</v>
      </c>
      <c r="B172" t="s">
        <v>17</v>
      </c>
      <c r="C172" t="s">
        <v>18</v>
      </c>
      <c r="D172" t="s">
        <v>17</v>
      </c>
      <c r="E172" t="s">
        <v>19</v>
      </c>
      <c r="F172" s="23">
        <v>5</v>
      </c>
      <c r="G172" s="19" t="s">
        <v>8</v>
      </c>
      <c r="H172" s="34">
        <f>INDEX(U:U, MATCH(G172, T:T, 0))*F172</f>
        <v>2.5</v>
      </c>
      <c r="I172" s="34">
        <f t="shared" si="4"/>
        <v>0</v>
      </c>
      <c r="J172" s="34">
        <f t="shared" si="5"/>
        <v>0</v>
      </c>
    </row>
    <row r="173" spans="1:18" ht="18" customHeight="1" x14ac:dyDescent="0.35">
      <c r="A173" s="9">
        <v>302</v>
      </c>
      <c r="B173" t="s">
        <v>17</v>
      </c>
      <c r="C173" t="s">
        <v>18</v>
      </c>
      <c r="D173" t="s">
        <v>17</v>
      </c>
      <c r="E173" t="s">
        <v>19</v>
      </c>
      <c r="F173" s="23">
        <v>25</v>
      </c>
      <c r="G173" s="19" t="s">
        <v>8</v>
      </c>
      <c r="H173" s="34">
        <f>INDEX(U:U, MATCH(G173, T:T, 0))*F173</f>
        <v>12.5</v>
      </c>
      <c r="I173" s="34">
        <f t="shared" si="4"/>
        <v>0</v>
      </c>
      <c r="J173" s="34">
        <f t="shared" si="5"/>
        <v>0</v>
      </c>
      <c r="K173" s="41" t="s">
        <v>45</v>
      </c>
    </row>
    <row r="174" spans="1:18" ht="18" customHeight="1" x14ac:dyDescent="0.35">
      <c r="A174" s="9">
        <v>304</v>
      </c>
      <c r="B174" t="s">
        <v>17</v>
      </c>
      <c r="C174" t="s">
        <v>17</v>
      </c>
      <c r="D174" t="s">
        <v>18</v>
      </c>
      <c r="E174" t="s">
        <v>20</v>
      </c>
      <c r="F174" s="23">
        <v>10</v>
      </c>
      <c r="G174" s="19" t="s">
        <v>8</v>
      </c>
      <c r="H174" s="34">
        <f>INDEX(U:U, MATCH(G174, T:T, 0))*F174</f>
        <v>5</v>
      </c>
      <c r="I174" s="34">
        <f t="shared" si="4"/>
        <v>0</v>
      </c>
      <c r="J174" s="34">
        <f t="shared" si="5"/>
        <v>0</v>
      </c>
      <c r="K174" s="41" t="s">
        <v>65</v>
      </c>
      <c r="L174" s="9" t="s">
        <v>115</v>
      </c>
      <c r="M174" s="1">
        <v>5</v>
      </c>
      <c r="N174" s="1" t="s">
        <v>12</v>
      </c>
      <c r="O174" s="1">
        <f>INDEX(W:W, MATCH(N174, V:V, 0))*M174</f>
        <v>1.5</v>
      </c>
      <c r="P174" s="19">
        <f>H174-O174</f>
        <v>3.5</v>
      </c>
      <c r="Q174" s="19">
        <f>M174-F174</f>
        <v>-5</v>
      </c>
      <c r="R174" s="49" t="s">
        <v>116</v>
      </c>
    </row>
    <row r="175" spans="1:18" ht="18" customHeight="1" x14ac:dyDescent="0.35">
      <c r="A175" s="9">
        <v>307</v>
      </c>
      <c r="B175" t="s">
        <v>17</v>
      </c>
      <c r="C175" t="s">
        <v>18</v>
      </c>
      <c r="D175" t="s">
        <v>18</v>
      </c>
      <c r="E175" t="s">
        <v>19</v>
      </c>
      <c r="F175" s="23">
        <v>5</v>
      </c>
      <c r="G175" s="19" t="s">
        <v>8</v>
      </c>
      <c r="H175" s="34">
        <f>INDEX(U:U, MATCH(G175, T:T, 0))*F175</f>
        <v>2.5</v>
      </c>
      <c r="I175" s="34">
        <f t="shared" si="4"/>
        <v>0</v>
      </c>
      <c r="J175" s="34">
        <f t="shared" si="5"/>
        <v>0</v>
      </c>
      <c r="K175" s="41" t="s">
        <v>22</v>
      </c>
    </row>
    <row r="176" spans="1:18" ht="18" customHeight="1" x14ac:dyDescent="0.35">
      <c r="A176" s="9">
        <v>309</v>
      </c>
      <c r="B176" t="s">
        <v>17</v>
      </c>
      <c r="C176" t="s">
        <v>17</v>
      </c>
      <c r="D176" t="s">
        <v>17</v>
      </c>
      <c r="E176" t="s">
        <v>19</v>
      </c>
      <c r="F176" s="23">
        <v>1</v>
      </c>
      <c r="G176" s="19" t="s">
        <v>8</v>
      </c>
      <c r="H176" s="34">
        <f>INDEX(U:U, MATCH(G176, T:T, 0))*F176</f>
        <v>0.5</v>
      </c>
      <c r="I176" s="34">
        <f t="shared" si="4"/>
        <v>0</v>
      </c>
      <c r="J176" s="34">
        <f t="shared" si="5"/>
        <v>0</v>
      </c>
      <c r="K176" s="41" t="s">
        <v>44</v>
      </c>
    </row>
    <row r="177" spans="1:11" ht="18" customHeight="1" x14ac:dyDescent="0.35">
      <c r="A177" s="9">
        <v>321</v>
      </c>
      <c r="B177" t="s">
        <v>17</v>
      </c>
      <c r="C177" t="s">
        <v>18</v>
      </c>
      <c r="D177" t="s">
        <v>17</v>
      </c>
      <c r="E177" t="s">
        <v>19</v>
      </c>
      <c r="F177" s="23">
        <v>10</v>
      </c>
      <c r="G177" s="19" t="s">
        <v>8</v>
      </c>
      <c r="H177" s="34">
        <f>INDEX(U:U, MATCH(G177, T:T, 0))*F177</f>
        <v>5</v>
      </c>
      <c r="I177" s="34">
        <f t="shared" si="4"/>
        <v>0</v>
      </c>
      <c r="J177" s="34">
        <f t="shared" si="5"/>
        <v>0</v>
      </c>
    </row>
    <row r="178" spans="1:11" ht="18" customHeight="1" x14ac:dyDescent="0.35">
      <c r="A178" s="9">
        <v>324</v>
      </c>
      <c r="B178" t="s">
        <v>17</v>
      </c>
      <c r="C178" t="s">
        <v>18</v>
      </c>
      <c r="D178" t="s">
        <v>17</v>
      </c>
      <c r="E178" t="s">
        <v>19</v>
      </c>
      <c r="F178" s="23">
        <v>5</v>
      </c>
      <c r="G178" s="19" t="s">
        <v>8</v>
      </c>
      <c r="H178" s="34">
        <f>INDEX(U:U, MATCH(G178, T:T, 0))*F178</f>
        <v>2.5</v>
      </c>
      <c r="I178" s="34">
        <f t="shared" si="4"/>
        <v>0</v>
      </c>
      <c r="J178" s="34">
        <f t="shared" si="5"/>
        <v>0</v>
      </c>
      <c r="K178" s="41" t="s">
        <v>66</v>
      </c>
    </row>
    <row r="179" spans="1:11" ht="18" customHeight="1" x14ac:dyDescent="0.35">
      <c r="A179" s="9">
        <v>326</v>
      </c>
      <c r="B179" t="s">
        <v>17</v>
      </c>
      <c r="C179" t="s">
        <v>17</v>
      </c>
      <c r="D179" t="s">
        <v>17</v>
      </c>
      <c r="E179" t="s">
        <v>19</v>
      </c>
      <c r="F179" s="23">
        <v>1</v>
      </c>
      <c r="G179" s="19" t="s">
        <v>8</v>
      </c>
      <c r="H179" s="34">
        <f>INDEX(U:U, MATCH(G179, T:T, 0))*F179</f>
        <v>0.5</v>
      </c>
      <c r="I179" s="34">
        <f t="shared" si="4"/>
        <v>0</v>
      </c>
      <c r="J179" s="34">
        <f t="shared" si="5"/>
        <v>0</v>
      </c>
      <c r="K179" s="41" t="s">
        <v>24</v>
      </c>
    </row>
    <row r="180" spans="1:11" ht="18" customHeight="1" x14ac:dyDescent="0.35">
      <c r="A180" s="9">
        <v>348</v>
      </c>
      <c r="B180" t="s">
        <v>17</v>
      </c>
      <c r="C180" t="s">
        <v>18</v>
      </c>
      <c r="D180" t="s">
        <v>17</v>
      </c>
      <c r="E180" t="s">
        <v>19</v>
      </c>
      <c r="F180" s="23">
        <v>20</v>
      </c>
      <c r="G180" s="19" t="s">
        <v>8</v>
      </c>
      <c r="H180" s="34">
        <f>INDEX(U:U, MATCH(G180, T:T, 0))*F180</f>
        <v>10</v>
      </c>
      <c r="I180" s="34">
        <f t="shared" si="4"/>
        <v>0</v>
      </c>
      <c r="J180" s="34">
        <f t="shared" si="5"/>
        <v>0</v>
      </c>
    </row>
    <row r="181" spans="1:11" ht="18" customHeight="1" x14ac:dyDescent="0.35">
      <c r="A181" s="9">
        <v>350</v>
      </c>
      <c r="B181" t="s">
        <v>17</v>
      </c>
      <c r="C181" t="s">
        <v>18</v>
      </c>
      <c r="D181" t="s">
        <v>17</v>
      </c>
      <c r="E181" t="s">
        <v>19</v>
      </c>
      <c r="F181" s="23">
        <v>10</v>
      </c>
      <c r="G181" s="19" t="s">
        <v>8</v>
      </c>
      <c r="H181" s="34">
        <f>INDEX(U:U, MATCH(G181, T:T, 0))*F181</f>
        <v>5</v>
      </c>
      <c r="I181" s="34">
        <f t="shared" si="4"/>
        <v>0</v>
      </c>
      <c r="J181" s="34">
        <f t="shared" si="5"/>
        <v>0</v>
      </c>
    </row>
    <row r="182" spans="1:11" ht="18" customHeight="1" x14ac:dyDescent="0.35">
      <c r="A182" s="9">
        <v>361</v>
      </c>
      <c r="B182" t="s">
        <v>17</v>
      </c>
      <c r="C182" t="s">
        <v>18</v>
      </c>
      <c r="D182" t="s">
        <v>17</v>
      </c>
      <c r="E182" t="s">
        <v>19</v>
      </c>
      <c r="F182" s="23">
        <v>5</v>
      </c>
      <c r="G182" s="19" t="s">
        <v>8</v>
      </c>
      <c r="H182" s="34">
        <f>INDEX(U:U, MATCH(G182, T:T, 0))*F182</f>
        <v>2.5</v>
      </c>
      <c r="I182" s="34">
        <f t="shared" si="4"/>
        <v>0</v>
      </c>
      <c r="J182" s="34">
        <f t="shared" si="5"/>
        <v>0</v>
      </c>
      <c r="K182" s="41" t="s">
        <v>35</v>
      </c>
    </row>
    <row r="183" spans="1:11" ht="18" customHeight="1" x14ac:dyDescent="0.35">
      <c r="A183" s="9">
        <v>363</v>
      </c>
      <c r="B183" t="s">
        <v>18</v>
      </c>
      <c r="C183" t="s">
        <v>17</v>
      </c>
      <c r="D183" t="s">
        <v>18</v>
      </c>
      <c r="E183" t="s">
        <v>19</v>
      </c>
      <c r="F183" s="23">
        <v>15</v>
      </c>
      <c r="G183" s="19" t="s">
        <v>8</v>
      </c>
      <c r="H183" s="34">
        <f>INDEX(U:U, MATCH(G183, T:T, 0))*F183</f>
        <v>7.5</v>
      </c>
      <c r="I183" s="34">
        <f t="shared" si="4"/>
        <v>0</v>
      </c>
      <c r="J183" s="34">
        <f t="shared" si="5"/>
        <v>0</v>
      </c>
      <c r="K183" s="41" t="s">
        <v>38</v>
      </c>
    </row>
    <row r="184" spans="1:11" ht="18" customHeight="1" x14ac:dyDescent="0.35">
      <c r="A184" s="9">
        <v>369</v>
      </c>
      <c r="B184" t="s">
        <v>17</v>
      </c>
      <c r="C184" t="s">
        <v>18</v>
      </c>
      <c r="D184" t="s">
        <v>18</v>
      </c>
      <c r="E184" t="s">
        <v>19</v>
      </c>
      <c r="F184" s="23">
        <v>5</v>
      </c>
      <c r="G184" s="19" t="s">
        <v>8</v>
      </c>
      <c r="H184" s="34">
        <f>INDEX(U:U, MATCH(G184, T:T, 0))*F184</f>
        <v>2.5</v>
      </c>
      <c r="I184" s="34">
        <f t="shared" si="4"/>
        <v>0</v>
      </c>
      <c r="J184" s="34">
        <f t="shared" si="5"/>
        <v>0</v>
      </c>
      <c r="K184" s="41" t="s">
        <v>36</v>
      </c>
    </row>
    <row r="185" spans="1:11" ht="18" customHeight="1" x14ac:dyDescent="0.35">
      <c r="A185" s="9">
        <v>378</v>
      </c>
      <c r="B185" t="s">
        <v>17</v>
      </c>
      <c r="C185" t="s">
        <v>17</v>
      </c>
      <c r="D185" t="s">
        <v>18</v>
      </c>
      <c r="E185" t="s">
        <v>19</v>
      </c>
      <c r="F185" s="23">
        <v>5</v>
      </c>
      <c r="G185" s="19" t="s">
        <v>8</v>
      </c>
      <c r="H185" s="34">
        <f>INDEX(U:U, MATCH(G185, T:T, 0))*F185</f>
        <v>2.5</v>
      </c>
      <c r="I185" s="34">
        <f t="shared" si="4"/>
        <v>0</v>
      </c>
      <c r="J185" s="34">
        <f t="shared" si="5"/>
        <v>0</v>
      </c>
      <c r="K185" s="41" t="s">
        <v>48</v>
      </c>
    </row>
    <row r="186" spans="1:11" ht="18" customHeight="1" x14ac:dyDescent="0.35">
      <c r="A186" s="9">
        <v>397</v>
      </c>
      <c r="B186" t="s">
        <v>17</v>
      </c>
      <c r="C186" t="s">
        <v>18</v>
      </c>
      <c r="D186" t="s">
        <v>17</v>
      </c>
      <c r="E186" t="s">
        <v>19</v>
      </c>
      <c r="F186" s="23">
        <v>5</v>
      </c>
      <c r="G186" s="19" t="s">
        <v>8</v>
      </c>
      <c r="H186" s="34">
        <f>INDEX(U:U, MATCH(G186, T:T, 0))*F186</f>
        <v>2.5</v>
      </c>
      <c r="I186" s="34">
        <f t="shared" si="4"/>
        <v>0</v>
      </c>
      <c r="J186" s="34">
        <f t="shared" si="5"/>
        <v>0</v>
      </c>
      <c r="K186" s="41" t="s">
        <v>22</v>
      </c>
    </row>
    <row r="187" spans="1:11" ht="18" customHeight="1" x14ac:dyDescent="0.35">
      <c r="A187" s="9">
        <v>400</v>
      </c>
      <c r="B187" t="s">
        <v>17</v>
      </c>
      <c r="C187" t="s">
        <v>18</v>
      </c>
      <c r="D187" t="s">
        <v>18</v>
      </c>
      <c r="E187" t="s">
        <v>19</v>
      </c>
      <c r="F187" s="23">
        <v>10</v>
      </c>
      <c r="G187" s="19" t="s">
        <v>8</v>
      </c>
      <c r="H187" s="34">
        <f>INDEX(U:U, MATCH(G187, T:T, 0))*F187</f>
        <v>5</v>
      </c>
      <c r="I187" s="34">
        <f t="shared" si="4"/>
        <v>0</v>
      </c>
      <c r="J187" s="34">
        <f t="shared" si="5"/>
        <v>0</v>
      </c>
    </row>
    <row r="188" spans="1:11" ht="18" customHeight="1" x14ac:dyDescent="0.35">
      <c r="A188" s="9">
        <v>405</v>
      </c>
      <c r="B188" t="s">
        <v>17</v>
      </c>
      <c r="C188" t="s">
        <v>18</v>
      </c>
      <c r="D188" t="s">
        <v>17</v>
      </c>
      <c r="E188" t="s">
        <v>19</v>
      </c>
      <c r="F188" s="23">
        <v>10</v>
      </c>
      <c r="G188" s="19" t="s">
        <v>8</v>
      </c>
      <c r="H188" s="34">
        <f>INDEX(U:U, MATCH(G188, T:T, 0))*F188</f>
        <v>5</v>
      </c>
      <c r="I188" s="34">
        <f t="shared" si="4"/>
        <v>0</v>
      </c>
      <c r="J188" s="34">
        <f t="shared" si="5"/>
        <v>0</v>
      </c>
    </row>
    <row r="189" spans="1:11" ht="18" customHeight="1" x14ac:dyDescent="0.35">
      <c r="A189" s="9">
        <v>416</v>
      </c>
      <c r="B189" t="s">
        <v>17</v>
      </c>
      <c r="C189" t="s">
        <v>18</v>
      </c>
      <c r="D189" t="s">
        <v>17</v>
      </c>
      <c r="E189" t="s">
        <v>19</v>
      </c>
      <c r="F189" s="23">
        <v>5</v>
      </c>
      <c r="G189" s="19" t="s">
        <v>8</v>
      </c>
      <c r="H189" s="34">
        <f>INDEX(U:U, MATCH(G189, T:T, 0))*F189</f>
        <v>2.5</v>
      </c>
      <c r="I189" s="34">
        <f t="shared" si="4"/>
        <v>0</v>
      </c>
      <c r="J189" s="34">
        <f t="shared" si="5"/>
        <v>0</v>
      </c>
      <c r="K189" s="41" t="s">
        <v>83</v>
      </c>
    </row>
    <row r="190" spans="1:11" ht="18" customHeight="1" x14ac:dyDescent="0.35">
      <c r="A190" s="9">
        <v>417</v>
      </c>
      <c r="B190" t="s">
        <v>17</v>
      </c>
      <c r="C190" t="s">
        <v>18</v>
      </c>
      <c r="D190" t="s">
        <v>18</v>
      </c>
      <c r="E190" t="s">
        <v>19</v>
      </c>
      <c r="F190" s="23">
        <v>5</v>
      </c>
      <c r="G190" s="19" t="s">
        <v>8</v>
      </c>
      <c r="H190" s="34">
        <f>INDEX(U:U, MATCH(G190, T:T, 0))*F190</f>
        <v>2.5</v>
      </c>
      <c r="I190" s="34">
        <f t="shared" si="4"/>
        <v>0</v>
      </c>
      <c r="J190" s="34">
        <f t="shared" si="5"/>
        <v>0</v>
      </c>
    </row>
    <row r="191" spans="1:11" ht="18" customHeight="1" x14ac:dyDescent="0.35">
      <c r="A191" s="9">
        <v>418</v>
      </c>
      <c r="B191" t="s">
        <v>17</v>
      </c>
      <c r="C191" t="s">
        <v>18</v>
      </c>
      <c r="D191" t="s">
        <v>17</v>
      </c>
      <c r="E191" t="s">
        <v>19</v>
      </c>
      <c r="F191" s="23">
        <v>5</v>
      </c>
      <c r="G191" s="19" t="s">
        <v>8</v>
      </c>
      <c r="H191" s="34">
        <f>INDEX(U:U, MATCH(G191, T:T, 0))*F191</f>
        <v>2.5</v>
      </c>
      <c r="I191" s="34">
        <f t="shared" si="4"/>
        <v>0</v>
      </c>
      <c r="J191" s="34">
        <f t="shared" si="5"/>
        <v>0</v>
      </c>
      <c r="K191" s="41" t="s">
        <v>59</v>
      </c>
    </row>
    <row r="192" spans="1:11" ht="18" customHeight="1" x14ac:dyDescent="0.35">
      <c r="A192" s="9">
        <v>443</v>
      </c>
      <c r="B192" t="s">
        <v>17</v>
      </c>
      <c r="C192" t="s">
        <v>18</v>
      </c>
      <c r="D192" t="s">
        <v>17</v>
      </c>
      <c r="E192" t="s">
        <v>19</v>
      </c>
      <c r="F192" s="23">
        <v>1</v>
      </c>
      <c r="G192" s="19" t="s">
        <v>8</v>
      </c>
      <c r="H192" s="34">
        <f>INDEX(U:U, MATCH(G192, T:T, 0))*F192</f>
        <v>0.5</v>
      </c>
      <c r="I192" s="34">
        <f t="shared" si="4"/>
        <v>0</v>
      </c>
      <c r="J192" s="34">
        <f t="shared" si="5"/>
        <v>0</v>
      </c>
      <c r="K192" s="41" t="s">
        <v>40</v>
      </c>
    </row>
    <row r="193" spans="1:18" ht="18" customHeight="1" x14ac:dyDescent="0.35">
      <c r="A193" s="9">
        <v>444</v>
      </c>
      <c r="B193" t="s">
        <v>17</v>
      </c>
      <c r="C193" t="s">
        <v>17</v>
      </c>
      <c r="D193" t="s">
        <v>18</v>
      </c>
      <c r="E193" t="s">
        <v>19</v>
      </c>
      <c r="F193" s="23">
        <v>5</v>
      </c>
      <c r="G193" s="19" t="s">
        <v>8</v>
      </c>
      <c r="H193" s="34">
        <f>INDEX(U:U, MATCH(G193, T:T, 0))*F193</f>
        <v>2.5</v>
      </c>
      <c r="I193" s="34">
        <f t="shared" si="4"/>
        <v>0</v>
      </c>
      <c r="J193" s="34">
        <f t="shared" si="5"/>
        <v>0</v>
      </c>
      <c r="K193" s="41" t="s">
        <v>37</v>
      </c>
    </row>
    <row r="194" spans="1:18" ht="18" customHeight="1" x14ac:dyDescent="0.35">
      <c r="A194" s="9">
        <v>452</v>
      </c>
      <c r="B194" t="s">
        <v>17</v>
      </c>
      <c r="C194" t="s">
        <v>18</v>
      </c>
      <c r="D194" t="s">
        <v>18</v>
      </c>
      <c r="E194" t="s">
        <v>19</v>
      </c>
      <c r="F194" s="23">
        <v>15</v>
      </c>
      <c r="G194" s="19" t="s">
        <v>8</v>
      </c>
      <c r="H194" s="34">
        <f>INDEX(U:U, MATCH(G194, T:T, 0))*F194</f>
        <v>7.5</v>
      </c>
      <c r="I194" s="34">
        <f t="shared" si="4"/>
        <v>0</v>
      </c>
      <c r="J194" s="34">
        <f t="shared" si="5"/>
        <v>0</v>
      </c>
    </row>
    <row r="195" spans="1:18" ht="18" customHeight="1" x14ac:dyDescent="0.35">
      <c r="A195" s="9">
        <v>453</v>
      </c>
      <c r="B195" t="s">
        <v>17</v>
      </c>
      <c r="C195" t="s">
        <v>17</v>
      </c>
      <c r="D195" t="s">
        <v>18</v>
      </c>
      <c r="E195" t="s">
        <v>19</v>
      </c>
      <c r="F195" s="23">
        <v>5</v>
      </c>
      <c r="G195" s="19" t="s">
        <v>8</v>
      </c>
      <c r="H195" s="34">
        <f>INDEX(U:U, MATCH(G195, T:T, 0))*F195</f>
        <v>2.5</v>
      </c>
      <c r="I195" s="34">
        <f t="shared" ref="I195:I257" si="6">IF(COUNTIF($T$3:$T$6, G195) &gt; 0, 0, 1)</f>
        <v>0</v>
      </c>
      <c r="J195" s="34">
        <f t="shared" ref="J195:J257" si="7">IF(COUNTIF(T$3:T$5, G195) &gt; 0, 0, 1)</f>
        <v>0</v>
      </c>
    </row>
    <row r="196" spans="1:18" ht="18" customHeight="1" x14ac:dyDescent="0.35">
      <c r="A196" s="9">
        <v>471</v>
      </c>
      <c r="B196" t="s">
        <v>17</v>
      </c>
      <c r="C196" t="s">
        <v>18</v>
      </c>
      <c r="D196" t="s">
        <v>18</v>
      </c>
      <c r="E196" t="s">
        <v>19</v>
      </c>
      <c r="F196" s="23">
        <v>30</v>
      </c>
      <c r="G196" s="19" t="s">
        <v>8</v>
      </c>
      <c r="H196" s="34">
        <f>INDEX(U:U, MATCH(G196, T:T, 0))*F196</f>
        <v>15</v>
      </c>
      <c r="I196" s="34">
        <f t="shared" si="6"/>
        <v>0</v>
      </c>
      <c r="J196" s="34">
        <f t="shared" si="7"/>
        <v>0</v>
      </c>
      <c r="K196" s="41" t="s">
        <v>76</v>
      </c>
    </row>
    <row r="197" spans="1:18" ht="18" customHeight="1" x14ac:dyDescent="0.35">
      <c r="A197" s="9">
        <v>478</v>
      </c>
      <c r="B197" t="s">
        <v>17</v>
      </c>
      <c r="C197" t="s">
        <v>17</v>
      </c>
      <c r="D197" t="s">
        <v>17</v>
      </c>
      <c r="E197" t="s">
        <v>19</v>
      </c>
      <c r="F197" s="23">
        <v>5</v>
      </c>
      <c r="G197" s="19" t="s">
        <v>8</v>
      </c>
      <c r="H197" s="34">
        <f>INDEX(U:U, MATCH(G197, T:T, 0))*F197</f>
        <v>2.5</v>
      </c>
      <c r="I197" s="34">
        <f t="shared" si="6"/>
        <v>0</v>
      </c>
      <c r="J197" s="34">
        <f t="shared" si="7"/>
        <v>0</v>
      </c>
      <c r="K197" s="41" t="s">
        <v>92</v>
      </c>
      <c r="M197" s="1">
        <v>5</v>
      </c>
      <c r="N197" s="1" t="s">
        <v>8</v>
      </c>
      <c r="O197" s="1">
        <f>INDEX(W:W, MATCH(N197, V:V, 0))*M197</f>
        <v>2.25</v>
      </c>
      <c r="P197" s="19">
        <f>H197-O197</f>
        <v>0.25</v>
      </c>
      <c r="Q197" s="19">
        <f>M197-F197</f>
        <v>0</v>
      </c>
    </row>
    <row r="198" spans="1:18" ht="18" customHeight="1" x14ac:dyDescent="0.35">
      <c r="A198" s="9">
        <v>601</v>
      </c>
      <c r="B198" t="s">
        <v>17</v>
      </c>
      <c r="C198" t="s">
        <v>18</v>
      </c>
      <c r="D198" t="s">
        <v>18</v>
      </c>
      <c r="E198" t="s">
        <v>19</v>
      </c>
      <c r="F198" s="23">
        <v>10</v>
      </c>
      <c r="G198" s="19" t="s">
        <v>8</v>
      </c>
      <c r="H198" s="34">
        <f>INDEX(U:U, MATCH(G198, T:T, 0))*F198</f>
        <v>5</v>
      </c>
      <c r="I198" s="34">
        <f t="shared" si="6"/>
        <v>0</v>
      </c>
      <c r="J198" s="34">
        <f t="shared" si="7"/>
        <v>0</v>
      </c>
    </row>
    <row r="199" spans="1:18" ht="18" customHeight="1" x14ac:dyDescent="0.35">
      <c r="A199" s="9">
        <v>602</v>
      </c>
      <c r="B199" t="s">
        <v>18</v>
      </c>
      <c r="C199" t="s">
        <v>18</v>
      </c>
      <c r="D199" t="s">
        <v>17</v>
      </c>
      <c r="E199" t="s">
        <v>19</v>
      </c>
      <c r="F199" s="23">
        <v>5</v>
      </c>
      <c r="G199" s="19" t="s">
        <v>8</v>
      </c>
      <c r="H199" s="34">
        <f>INDEX(U:U, MATCH(G199, T:T, 0))*F199</f>
        <v>2.5</v>
      </c>
      <c r="I199" s="34">
        <f t="shared" si="6"/>
        <v>0</v>
      </c>
      <c r="J199" s="34">
        <f t="shared" si="7"/>
        <v>0</v>
      </c>
      <c r="K199" s="41" t="s">
        <v>62</v>
      </c>
    </row>
    <row r="200" spans="1:18" ht="18" customHeight="1" x14ac:dyDescent="0.35">
      <c r="A200" s="9">
        <v>604</v>
      </c>
      <c r="B200" t="s">
        <v>17</v>
      </c>
      <c r="C200" t="s">
        <v>18</v>
      </c>
      <c r="D200" t="s">
        <v>17</v>
      </c>
      <c r="E200" t="s">
        <v>19</v>
      </c>
      <c r="F200" s="23">
        <v>3</v>
      </c>
      <c r="G200" s="19" t="s">
        <v>8</v>
      </c>
      <c r="H200" s="34">
        <f>INDEX(U:U, MATCH(G200, T:T, 0))*F200</f>
        <v>1.5</v>
      </c>
      <c r="I200" s="34">
        <f t="shared" si="6"/>
        <v>0</v>
      </c>
      <c r="J200" s="34">
        <f t="shared" si="7"/>
        <v>0</v>
      </c>
      <c r="K200" s="41" t="s">
        <v>44</v>
      </c>
    </row>
    <row r="201" spans="1:18" ht="18" customHeight="1" x14ac:dyDescent="0.35">
      <c r="A201" s="9">
        <v>605</v>
      </c>
      <c r="B201" t="s">
        <v>17</v>
      </c>
      <c r="C201" t="s">
        <v>18</v>
      </c>
      <c r="D201" t="s">
        <v>17</v>
      </c>
      <c r="E201" t="s">
        <v>21</v>
      </c>
      <c r="F201" s="23">
        <v>20</v>
      </c>
      <c r="G201" s="19" t="s">
        <v>8</v>
      </c>
      <c r="H201" s="34">
        <f>INDEX(U:U, MATCH(G201, T:T, 0))*F201</f>
        <v>10</v>
      </c>
      <c r="I201" s="34">
        <f t="shared" si="6"/>
        <v>0</v>
      </c>
      <c r="J201" s="34">
        <f t="shared" si="7"/>
        <v>0</v>
      </c>
    </row>
    <row r="202" spans="1:18" ht="18" customHeight="1" x14ac:dyDescent="0.35">
      <c r="A202" s="9">
        <v>609</v>
      </c>
      <c r="B202" t="s">
        <v>17</v>
      </c>
      <c r="C202" t="s">
        <v>18</v>
      </c>
      <c r="D202" t="s">
        <v>18</v>
      </c>
      <c r="E202" t="s">
        <v>19</v>
      </c>
      <c r="F202" s="23">
        <v>15</v>
      </c>
      <c r="G202" s="19" t="s">
        <v>8</v>
      </c>
      <c r="H202" s="34">
        <f>INDEX(U:U, MATCH(G202, T:T, 0))*F202</f>
        <v>7.5</v>
      </c>
      <c r="I202" s="34">
        <f t="shared" si="6"/>
        <v>0</v>
      </c>
      <c r="J202" s="34">
        <f t="shared" si="7"/>
        <v>0</v>
      </c>
      <c r="K202" s="41" t="s">
        <v>88</v>
      </c>
    </row>
    <row r="203" spans="1:18" ht="18" customHeight="1" x14ac:dyDescent="0.35">
      <c r="A203" s="9">
        <v>610</v>
      </c>
      <c r="B203" t="s">
        <v>17</v>
      </c>
      <c r="C203" t="s">
        <v>18</v>
      </c>
      <c r="D203" t="s">
        <v>17</v>
      </c>
      <c r="E203" t="s">
        <v>19</v>
      </c>
      <c r="F203" s="23">
        <v>10</v>
      </c>
      <c r="G203" s="19" t="s">
        <v>8</v>
      </c>
      <c r="H203" s="34">
        <f>INDEX(U:U, MATCH(G203, T:T, 0))*F203</f>
        <v>5</v>
      </c>
      <c r="I203" s="34">
        <f t="shared" si="6"/>
        <v>0</v>
      </c>
      <c r="J203" s="34">
        <f t="shared" si="7"/>
        <v>0</v>
      </c>
    </row>
    <row r="204" spans="1:18" ht="18" customHeight="1" x14ac:dyDescent="0.35">
      <c r="A204" s="9">
        <v>621</v>
      </c>
      <c r="B204" t="s">
        <v>17</v>
      </c>
      <c r="C204" t="s">
        <v>18</v>
      </c>
      <c r="D204" t="s">
        <v>17</v>
      </c>
      <c r="E204" t="s">
        <v>19</v>
      </c>
      <c r="F204" s="23">
        <v>5</v>
      </c>
      <c r="G204" s="19" t="s">
        <v>8</v>
      </c>
      <c r="H204" s="34">
        <f>INDEX(U:U, MATCH(G204, T:T, 0))*F204</f>
        <v>2.5</v>
      </c>
      <c r="I204" s="34">
        <f t="shared" si="6"/>
        <v>0</v>
      </c>
      <c r="J204" s="34">
        <f t="shared" si="7"/>
        <v>0</v>
      </c>
    </row>
    <row r="205" spans="1:18" ht="18" customHeight="1" x14ac:dyDescent="0.35">
      <c r="A205" s="9">
        <v>630</v>
      </c>
      <c r="B205" t="s">
        <v>17</v>
      </c>
      <c r="C205" t="s">
        <v>18</v>
      </c>
      <c r="D205" t="s">
        <v>18</v>
      </c>
      <c r="E205" t="s">
        <v>19</v>
      </c>
      <c r="F205" s="23">
        <v>5</v>
      </c>
      <c r="G205" s="19" t="s">
        <v>8</v>
      </c>
      <c r="H205" s="34">
        <f>INDEX(U:U, MATCH(G205, T:T, 0))*F205</f>
        <v>2.5</v>
      </c>
      <c r="I205" s="34">
        <f t="shared" si="6"/>
        <v>0</v>
      </c>
      <c r="J205" s="34">
        <f t="shared" si="7"/>
        <v>0</v>
      </c>
      <c r="K205" s="41" t="s">
        <v>95</v>
      </c>
    </row>
    <row r="206" spans="1:18" ht="18" customHeight="1" x14ac:dyDescent="0.35">
      <c r="A206" s="9">
        <v>661</v>
      </c>
      <c r="B206" t="s">
        <v>17</v>
      </c>
      <c r="C206" t="s">
        <v>18</v>
      </c>
      <c r="D206" t="s">
        <v>17</v>
      </c>
      <c r="E206" t="s">
        <v>19</v>
      </c>
      <c r="F206" s="23">
        <v>10</v>
      </c>
      <c r="G206" s="19" t="s">
        <v>8</v>
      </c>
      <c r="H206" s="34">
        <f>INDEX(U:U, MATCH(G206, T:T, 0))*F206</f>
        <v>5</v>
      </c>
      <c r="I206" s="34">
        <f t="shared" si="6"/>
        <v>0</v>
      </c>
      <c r="J206" s="34">
        <f t="shared" si="7"/>
        <v>0</v>
      </c>
      <c r="K206" s="41" t="s">
        <v>32</v>
      </c>
    </row>
    <row r="207" spans="1:18" ht="18" customHeight="1" x14ac:dyDescent="0.35">
      <c r="A207" s="9">
        <v>668</v>
      </c>
      <c r="B207" t="s">
        <v>17</v>
      </c>
      <c r="C207" t="s">
        <v>18</v>
      </c>
      <c r="D207" t="s">
        <v>17</v>
      </c>
      <c r="E207" t="s">
        <v>19</v>
      </c>
      <c r="F207" s="23">
        <v>10</v>
      </c>
      <c r="G207" s="19" t="s">
        <v>8</v>
      </c>
      <c r="H207" s="34">
        <f>INDEX(U:U, MATCH(G207, T:T, 0))*F207</f>
        <v>5</v>
      </c>
      <c r="I207" s="34">
        <f t="shared" si="6"/>
        <v>0</v>
      </c>
      <c r="J207" s="34">
        <f t="shared" si="7"/>
        <v>0</v>
      </c>
      <c r="L207" s="9" t="s">
        <v>109</v>
      </c>
      <c r="M207" s="1">
        <v>5</v>
      </c>
      <c r="N207" s="1" t="s">
        <v>12</v>
      </c>
      <c r="O207" s="1">
        <f>INDEX(W:W, MATCH(N207, V:V, 0))*M207</f>
        <v>1.5</v>
      </c>
      <c r="P207" s="19">
        <f>H207-O207</f>
        <v>3.5</v>
      </c>
      <c r="Q207" s="19">
        <f>M207-F207</f>
        <v>-5</v>
      </c>
      <c r="R207" s="49" t="s">
        <v>112</v>
      </c>
    </row>
    <row r="208" spans="1:18" ht="18" customHeight="1" x14ac:dyDescent="0.35">
      <c r="A208" s="9">
        <v>669</v>
      </c>
      <c r="B208" t="s">
        <v>17</v>
      </c>
      <c r="C208" t="s">
        <v>18</v>
      </c>
      <c r="D208" t="s">
        <v>18</v>
      </c>
      <c r="E208" t="s">
        <v>19</v>
      </c>
      <c r="F208" s="23">
        <v>10</v>
      </c>
      <c r="G208" s="19" t="s">
        <v>8</v>
      </c>
      <c r="H208" s="34">
        <f>INDEX(U:U, MATCH(G208, T:T, 0))*F208</f>
        <v>5</v>
      </c>
      <c r="I208" s="34">
        <f t="shared" si="6"/>
        <v>0</v>
      </c>
      <c r="J208" s="34">
        <f t="shared" si="7"/>
        <v>0</v>
      </c>
    </row>
    <row r="209" spans="1:18" ht="18" customHeight="1" x14ac:dyDescent="0.35">
      <c r="A209" s="9">
        <v>697</v>
      </c>
      <c r="B209" t="s">
        <v>17</v>
      </c>
      <c r="C209" t="s">
        <v>17</v>
      </c>
      <c r="D209" t="s">
        <v>17</v>
      </c>
      <c r="E209" t="s">
        <v>19</v>
      </c>
      <c r="F209" s="23">
        <v>1</v>
      </c>
      <c r="G209" s="19" t="s">
        <v>8</v>
      </c>
      <c r="H209" s="34">
        <f>INDEX(U:U, MATCH(G209, T:T, 0))*F209</f>
        <v>0.5</v>
      </c>
      <c r="I209" s="34">
        <f t="shared" si="6"/>
        <v>0</v>
      </c>
      <c r="J209" s="34">
        <f t="shared" si="7"/>
        <v>0</v>
      </c>
      <c r="K209" s="41" t="s">
        <v>46</v>
      </c>
    </row>
    <row r="210" spans="1:18" ht="18" customHeight="1" x14ac:dyDescent="0.35">
      <c r="A210" s="9">
        <v>746</v>
      </c>
      <c r="B210" t="s">
        <v>18</v>
      </c>
      <c r="C210" t="s">
        <v>17</v>
      </c>
      <c r="D210" t="s">
        <v>17</v>
      </c>
      <c r="E210" t="s">
        <v>19</v>
      </c>
      <c r="F210" s="23">
        <v>5</v>
      </c>
      <c r="G210" s="19" t="s">
        <v>8</v>
      </c>
      <c r="H210" s="34">
        <f>INDEX(U:U, MATCH(G210, T:T, 0))*F210</f>
        <v>2.5</v>
      </c>
      <c r="I210" s="34">
        <f t="shared" si="6"/>
        <v>0</v>
      </c>
      <c r="J210" s="34">
        <f t="shared" si="7"/>
        <v>0</v>
      </c>
      <c r="K210" s="41" t="s">
        <v>35</v>
      </c>
    </row>
    <row r="211" spans="1:18" ht="18" customHeight="1" x14ac:dyDescent="0.35">
      <c r="A211" s="9">
        <v>63</v>
      </c>
      <c r="B211" t="s">
        <v>17</v>
      </c>
      <c r="C211" t="s">
        <v>18</v>
      </c>
      <c r="D211" t="s">
        <v>17</v>
      </c>
      <c r="E211" t="s">
        <v>19</v>
      </c>
      <c r="F211" s="23">
        <v>20</v>
      </c>
      <c r="G211" s="19" t="s">
        <v>14</v>
      </c>
      <c r="H211" s="34">
        <f>INDEX(U:U, MATCH(G211, T:T, 0))*F211</f>
        <v>15</v>
      </c>
      <c r="I211" s="34">
        <f t="shared" si="6"/>
        <v>0</v>
      </c>
      <c r="J211" s="34">
        <f t="shared" si="7"/>
        <v>1</v>
      </c>
      <c r="L211" s="9" t="s">
        <v>110</v>
      </c>
      <c r="M211" s="1">
        <v>25</v>
      </c>
      <c r="N211" s="1" t="s">
        <v>8</v>
      </c>
      <c r="O211" s="1">
        <f>INDEX(W:W, MATCH(N211, V:V, 0))*M211</f>
        <v>11.25</v>
      </c>
      <c r="P211" s="19">
        <f>H211-O211</f>
        <v>3.75</v>
      </c>
      <c r="Q211" s="19">
        <f>M211-F211</f>
        <v>5</v>
      </c>
      <c r="R211" s="49" t="s">
        <v>111</v>
      </c>
    </row>
    <row r="212" spans="1:18" ht="18" customHeight="1" x14ac:dyDescent="0.35">
      <c r="A212" s="9">
        <v>79</v>
      </c>
      <c r="B212" t="s">
        <v>17</v>
      </c>
      <c r="C212" t="s">
        <v>18</v>
      </c>
      <c r="D212" t="s">
        <v>17</v>
      </c>
      <c r="E212" t="s">
        <v>19</v>
      </c>
      <c r="F212" s="23">
        <v>20</v>
      </c>
      <c r="G212" s="19" t="s">
        <v>14</v>
      </c>
      <c r="H212" s="34">
        <f>INDEX(U:U, MATCH(G212, T:T, 0))*F212</f>
        <v>15</v>
      </c>
      <c r="I212" s="34">
        <f t="shared" si="6"/>
        <v>0</v>
      </c>
      <c r="J212" s="34">
        <f t="shared" si="7"/>
        <v>1</v>
      </c>
    </row>
    <row r="213" spans="1:18" ht="18" customHeight="1" x14ac:dyDescent="0.35">
      <c r="A213" s="9">
        <v>100</v>
      </c>
      <c r="B213" t="s">
        <v>17</v>
      </c>
      <c r="C213" t="s">
        <v>18</v>
      </c>
      <c r="D213" t="s">
        <v>17</v>
      </c>
      <c r="E213" t="s">
        <v>20</v>
      </c>
      <c r="F213" s="23">
        <v>30</v>
      </c>
      <c r="G213" s="19" t="s">
        <v>14</v>
      </c>
      <c r="H213" s="34">
        <f>INDEX(U:U, MATCH(G213, T:T, 0))*F213</f>
        <v>22.5</v>
      </c>
      <c r="I213" s="34">
        <f t="shared" si="6"/>
        <v>0</v>
      </c>
      <c r="J213" s="34">
        <f t="shared" si="7"/>
        <v>1</v>
      </c>
      <c r="K213" s="41" t="s">
        <v>55</v>
      </c>
    </row>
    <row r="214" spans="1:18" ht="18" customHeight="1" x14ac:dyDescent="0.35">
      <c r="A214" s="9">
        <v>228</v>
      </c>
      <c r="B214" t="s">
        <v>17</v>
      </c>
      <c r="C214" t="s">
        <v>18</v>
      </c>
      <c r="D214" t="s">
        <v>17</v>
      </c>
      <c r="E214" t="s">
        <v>20</v>
      </c>
      <c r="F214" s="23">
        <v>50</v>
      </c>
      <c r="G214" s="19" t="s">
        <v>14</v>
      </c>
      <c r="H214" s="34">
        <f>INDEX(U:U, MATCH(G214, T:T, 0))*F214</f>
        <v>37.5</v>
      </c>
      <c r="I214" s="34">
        <f t="shared" si="6"/>
        <v>0</v>
      </c>
      <c r="J214" s="34">
        <f t="shared" si="7"/>
        <v>1</v>
      </c>
      <c r="K214" s="41" t="s">
        <v>43</v>
      </c>
    </row>
    <row r="215" spans="1:18" ht="18" customHeight="1" x14ac:dyDescent="0.35">
      <c r="A215" s="9">
        <v>249</v>
      </c>
      <c r="B215" t="s">
        <v>17</v>
      </c>
      <c r="C215" t="s">
        <v>18</v>
      </c>
      <c r="D215" t="s">
        <v>17</v>
      </c>
      <c r="E215" t="s">
        <v>20</v>
      </c>
      <c r="F215" s="23">
        <v>10</v>
      </c>
      <c r="G215" s="19" t="s">
        <v>14</v>
      </c>
      <c r="H215" s="34">
        <f>INDEX(U:U, MATCH(G215, T:T, 0))*F215</f>
        <v>7.5</v>
      </c>
      <c r="I215" s="34">
        <f t="shared" si="6"/>
        <v>0</v>
      </c>
      <c r="J215" s="34">
        <f t="shared" si="7"/>
        <v>1</v>
      </c>
      <c r="K215" s="41" t="s">
        <v>43</v>
      </c>
    </row>
    <row r="216" spans="1:18" ht="18" customHeight="1" x14ac:dyDescent="0.35">
      <c r="A216" s="9">
        <v>287</v>
      </c>
      <c r="B216" t="s">
        <v>17</v>
      </c>
      <c r="C216" t="s">
        <v>18</v>
      </c>
      <c r="D216" t="s">
        <v>18</v>
      </c>
      <c r="E216" t="s">
        <v>19</v>
      </c>
      <c r="F216" s="23">
        <v>10</v>
      </c>
      <c r="G216" s="19" t="s">
        <v>14</v>
      </c>
      <c r="H216" s="34">
        <f>INDEX(U:U, MATCH(G216, T:T, 0))*F216</f>
        <v>7.5</v>
      </c>
      <c r="I216" s="34">
        <f t="shared" si="6"/>
        <v>0</v>
      </c>
      <c r="J216" s="34">
        <f t="shared" si="7"/>
        <v>1</v>
      </c>
      <c r="K216" s="41" t="s">
        <v>67</v>
      </c>
    </row>
    <row r="217" spans="1:18" ht="18" customHeight="1" x14ac:dyDescent="0.35">
      <c r="A217" s="9">
        <v>290</v>
      </c>
      <c r="B217" t="s">
        <v>17</v>
      </c>
      <c r="C217" t="s">
        <v>18</v>
      </c>
      <c r="D217" t="s">
        <v>18</v>
      </c>
      <c r="E217" t="s">
        <v>21</v>
      </c>
      <c r="F217" s="23">
        <v>15</v>
      </c>
      <c r="G217" s="19" t="s">
        <v>14</v>
      </c>
      <c r="H217" s="34">
        <f>INDEX(U:U, MATCH(G217, T:T, 0))*F217</f>
        <v>11.25</v>
      </c>
      <c r="I217" s="34">
        <f t="shared" si="6"/>
        <v>0</v>
      </c>
      <c r="J217" s="34">
        <f t="shared" si="7"/>
        <v>1</v>
      </c>
    </row>
    <row r="218" spans="1:18" ht="18" customHeight="1" x14ac:dyDescent="0.35">
      <c r="A218" s="9">
        <v>291</v>
      </c>
      <c r="B218" t="s">
        <v>17</v>
      </c>
      <c r="C218" t="s">
        <v>18</v>
      </c>
      <c r="D218" t="s">
        <v>18</v>
      </c>
      <c r="E218" t="s">
        <v>19</v>
      </c>
      <c r="F218" s="23">
        <v>20</v>
      </c>
      <c r="G218" s="19" t="s">
        <v>14</v>
      </c>
      <c r="H218" s="34">
        <f>INDEX(U:U, MATCH(G218, T:T, 0))*F218</f>
        <v>15</v>
      </c>
      <c r="I218" s="34">
        <f t="shared" si="6"/>
        <v>0</v>
      </c>
      <c r="J218" s="34">
        <f t="shared" si="7"/>
        <v>1</v>
      </c>
    </row>
    <row r="219" spans="1:18" ht="18" customHeight="1" x14ac:dyDescent="0.35">
      <c r="A219" s="9">
        <v>347</v>
      </c>
      <c r="B219" t="s">
        <v>18</v>
      </c>
      <c r="C219" t="s">
        <v>18</v>
      </c>
      <c r="D219" t="s">
        <v>17</v>
      </c>
      <c r="E219" t="s">
        <v>19</v>
      </c>
      <c r="F219" s="23">
        <v>10</v>
      </c>
      <c r="G219" s="19" t="s">
        <v>14</v>
      </c>
      <c r="H219" s="34">
        <f>INDEX(U:U, MATCH(G219, T:T, 0))*F219</f>
        <v>7.5</v>
      </c>
      <c r="I219" s="34">
        <f t="shared" si="6"/>
        <v>0</v>
      </c>
      <c r="J219" s="34">
        <f t="shared" si="7"/>
        <v>1</v>
      </c>
      <c r="K219" s="41" t="s">
        <v>96</v>
      </c>
    </row>
    <row r="220" spans="1:18" ht="18" customHeight="1" x14ac:dyDescent="0.35">
      <c r="A220" s="9">
        <v>371</v>
      </c>
      <c r="B220" t="s">
        <v>17</v>
      </c>
      <c r="C220" t="s">
        <v>18</v>
      </c>
      <c r="D220" t="s">
        <v>17</v>
      </c>
      <c r="E220" t="s">
        <v>19</v>
      </c>
      <c r="F220" s="23">
        <v>5</v>
      </c>
      <c r="G220" s="19" t="s">
        <v>14</v>
      </c>
      <c r="H220" s="34">
        <f>INDEX(U:U, MATCH(G220, T:T, 0))*F220</f>
        <v>3.75</v>
      </c>
      <c r="I220" s="34">
        <f t="shared" si="6"/>
        <v>0</v>
      </c>
      <c r="J220" s="34">
        <f t="shared" si="7"/>
        <v>1</v>
      </c>
      <c r="K220" s="41" t="s">
        <v>33</v>
      </c>
    </row>
    <row r="221" spans="1:18" ht="18" customHeight="1" x14ac:dyDescent="0.35">
      <c r="A221" s="9">
        <v>402</v>
      </c>
      <c r="B221" t="s">
        <v>17</v>
      </c>
      <c r="C221" t="s">
        <v>18</v>
      </c>
      <c r="D221" t="s">
        <v>17</v>
      </c>
      <c r="E221" t="s">
        <v>20</v>
      </c>
      <c r="F221" s="23">
        <v>15</v>
      </c>
      <c r="G221" s="19" t="s">
        <v>14</v>
      </c>
      <c r="H221" s="34">
        <f>INDEX(U:U, MATCH(G221, T:T, 0))*F221</f>
        <v>11.25</v>
      </c>
      <c r="I221" s="34">
        <f t="shared" si="6"/>
        <v>0</v>
      </c>
      <c r="J221" s="34">
        <f t="shared" si="7"/>
        <v>1</v>
      </c>
      <c r="K221" s="41" t="s">
        <v>81</v>
      </c>
    </row>
    <row r="222" spans="1:18" ht="18" customHeight="1" x14ac:dyDescent="0.35">
      <c r="A222" s="9">
        <v>525</v>
      </c>
      <c r="B222" t="s">
        <v>18</v>
      </c>
      <c r="C222" t="s">
        <v>18</v>
      </c>
      <c r="D222" t="s">
        <v>18</v>
      </c>
      <c r="E222" t="s">
        <v>21</v>
      </c>
      <c r="F222" s="23">
        <v>10</v>
      </c>
      <c r="G222" s="19" t="s">
        <v>14</v>
      </c>
      <c r="H222" s="34">
        <f>INDEX(U:U, MATCH(G222, T:T, 0))*F222</f>
        <v>7.5</v>
      </c>
      <c r="I222" s="34">
        <f t="shared" si="6"/>
        <v>0</v>
      </c>
      <c r="J222" s="34">
        <f t="shared" si="7"/>
        <v>1</v>
      </c>
      <c r="L222" s="9" t="s">
        <v>100</v>
      </c>
      <c r="M222" s="1">
        <v>5</v>
      </c>
      <c r="N222" s="1" t="s">
        <v>13</v>
      </c>
      <c r="O222" s="1">
        <f>INDEX(W:W, MATCH(N222, V:V, 0))*M222</f>
        <v>5</v>
      </c>
      <c r="P222" s="19">
        <f>H222-O222</f>
        <v>2.5</v>
      </c>
      <c r="Q222" s="19">
        <f>M222-F222</f>
        <v>-5</v>
      </c>
      <c r="R222" s="49" t="s">
        <v>101</v>
      </c>
    </row>
    <row r="223" spans="1:18" ht="18" customHeight="1" x14ac:dyDescent="0.35">
      <c r="A223" s="9">
        <v>699</v>
      </c>
      <c r="B223" t="s">
        <v>18</v>
      </c>
      <c r="C223" t="s">
        <v>18</v>
      </c>
      <c r="D223" t="s">
        <v>17</v>
      </c>
      <c r="E223" t="s">
        <v>21</v>
      </c>
      <c r="F223" s="23">
        <v>10</v>
      </c>
      <c r="G223" s="19" t="s">
        <v>14</v>
      </c>
      <c r="H223" s="34">
        <f>INDEX(U:U, MATCH(G223, T:T, 0))*F223</f>
        <v>7.5</v>
      </c>
      <c r="I223" s="34">
        <f t="shared" si="6"/>
        <v>0</v>
      </c>
      <c r="J223" s="34">
        <f t="shared" si="7"/>
        <v>1</v>
      </c>
      <c r="L223" s="9" t="s">
        <v>113</v>
      </c>
      <c r="M223" s="1">
        <v>5</v>
      </c>
      <c r="N223" s="1" t="s">
        <v>8</v>
      </c>
      <c r="O223" s="1">
        <f>INDEX(W:W, MATCH(N223, V:V, 0))*M223</f>
        <v>2.25</v>
      </c>
      <c r="P223" s="19">
        <f>H223-O223</f>
        <v>5.25</v>
      </c>
      <c r="Q223" s="19">
        <f>M223-F223</f>
        <v>-5</v>
      </c>
      <c r="R223" s="49" t="s">
        <v>114</v>
      </c>
    </row>
    <row r="224" spans="1:18" ht="18" customHeight="1" x14ac:dyDescent="0.35">
      <c r="A224" s="9">
        <v>2</v>
      </c>
      <c r="B224" t="s">
        <v>17</v>
      </c>
      <c r="C224" t="s">
        <v>18</v>
      </c>
      <c r="D224" t="s">
        <v>17</v>
      </c>
      <c r="E224" t="s">
        <v>17</v>
      </c>
      <c r="F224" s="23">
        <v>5</v>
      </c>
      <c r="G224" s="19" t="s">
        <v>11</v>
      </c>
      <c r="H224" s="34">
        <f>INDEX(U:U, MATCH(G224, T:T, 0))*F224</f>
        <v>1.25</v>
      </c>
      <c r="I224" s="34">
        <f t="shared" si="6"/>
        <v>0</v>
      </c>
      <c r="J224" s="34">
        <f t="shared" si="7"/>
        <v>0</v>
      </c>
    </row>
    <row r="225" spans="1:11" ht="18" customHeight="1" x14ac:dyDescent="0.35">
      <c r="A225" s="9">
        <v>3</v>
      </c>
      <c r="B225" t="s">
        <v>17</v>
      </c>
      <c r="C225" t="s">
        <v>18</v>
      </c>
      <c r="D225" t="s">
        <v>17</v>
      </c>
      <c r="E225" t="s">
        <v>17</v>
      </c>
      <c r="F225" s="23">
        <v>1</v>
      </c>
      <c r="G225" s="19" t="s">
        <v>11</v>
      </c>
      <c r="H225" s="34">
        <f>INDEX(U:U, MATCH(G225, T:T, 0))*F225</f>
        <v>0.25</v>
      </c>
      <c r="I225" s="34">
        <f t="shared" si="6"/>
        <v>0</v>
      </c>
      <c r="J225" s="34">
        <f t="shared" si="7"/>
        <v>0</v>
      </c>
      <c r="K225" s="41" t="s">
        <v>61</v>
      </c>
    </row>
    <row r="226" spans="1:11" ht="18" customHeight="1" x14ac:dyDescent="0.35">
      <c r="A226" s="9">
        <v>4</v>
      </c>
      <c r="B226" t="s">
        <v>17</v>
      </c>
      <c r="C226" t="s">
        <v>18</v>
      </c>
      <c r="D226" t="s">
        <v>18</v>
      </c>
      <c r="E226" t="s">
        <v>17</v>
      </c>
      <c r="F226" s="23">
        <v>5</v>
      </c>
      <c r="G226" s="19" t="s">
        <v>11</v>
      </c>
      <c r="H226" s="34">
        <f>INDEX(U:U, MATCH(G226, T:T, 0))*F226</f>
        <v>1.25</v>
      </c>
      <c r="I226" s="34">
        <f t="shared" si="6"/>
        <v>0</v>
      </c>
      <c r="J226" s="34">
        <f t="shared" si="7"/>
        <v>0</v>
      </c>
    </row>
    <row r="227" spans="1:11" ht="18" customHeight="1" x14ac:dyDescent="0.35">
      <c r="A227" s="9">
        <v>8</v>
      </c>
      <c r="B227" t="s">
        <v>17</v>
      </c>
      <c r="C227" t="s">
        <v>18</v>
      </c>
      <c r="D227" t="s">
        <v>17</v>
      </c>
      <c r="E227" t="s">
        <v>17</v>
      </c>
      <c r="F227" s="23">
        <v>5</v>
      </c>
      <c r="G227" s="19" t="s">
        <v>11</v>
      </c>
      <c r="H227" s="34">
        <f>INDEX(U:U, MATCH(G227, T:T, 0))*F227</f>
        <v>1.25</v>
      </c>
      <c r="I227" s="34">
        <f t="shared" si="6"/>
        <v>0</v>
      </c>
      <c r="J227" s="34">
        <f t="shared" si="7"/>
        <v>0</v>
      </c>
    </row>
    <row r="228" spans="1:11" ht="18" customHeight="1" x14ac:dyDescent="0.35">
      <c r="A228" s="9">
        <v>21</v>
      </c>
      <c r="B228" t="s">
        <v>17</v>
      </c>
      <c r="C228" t="s">
        <v>18</v>
      </c>
      <c r="D228" t="s">
        <v>17</v>
      </c>
      <c r="E228" t="s">
        <v>17</v>
      </c>
      <c r="F228" s="23">
        <v>5</v>
      </c>
      <c r="G228" s="19" t="s">
        <v>11</v>
      </c>
      <c r="H228" s="34">
        <f>INDEX(U:U, MATCH(G228, T:T, 0))*F228</f>
        <v>1.25</v>
      </c>
      <c r="I228" s="34">
        <f t="shared" si="6"/>
        <v>0</v>
      </c>
      <c r="J228" s="34">
        <f t="shared" si="7"/>
        <v>0</v>
      </c>
    </row>
    <row r="229" spans="1:11" ht="18" customHeight="1" x14ac:dyDescent="0.35">
      <c r="A229" s="9">
        <v>24</v>
      </c>
      <c r="B229" t="s">
        <v>17</v>
      </c>
      <c r="C229" t="s">
        <v>18</v>
      </c>
      <c r="D229" t="s">
        <v>17</v>
      </c>
      <c r="E229" t="s">
        <v>17</v>
      </c>
      <c r="F229" s="23">
        <v>15</v>
      </c>
      <c r="G229" s="19" t="s">
        <v>11</v>
      </c>
      <c r="H229" s="34">
        <f>INDEX(U:U, MATCH(G229, T:T, 0))*F229</f>
        <v>3.75</v>
      </c>
      <c r="I229" s="34">
        <f t="shared" si="6"/>
        <v>0</v>
      </c>
      <c r="J229" s="34">
        <f t="shared" si="7"/>
        <v>0</v>
      </c>
      <c r="K229" s="41" t="s">
        <v>26</v>
      </c>
    </row>
    <row r="230" spans="1:11" ht="18" customHeight="1" x14ac:dyDescent="0.35">
      <c r="A230" s="9">
        <v>25</v>
      </c>
      <c r="B230" t="s">
        <v>18</v>
      </c>
      <c r="C230" t="s">
        <v>18</v>
      </c>
      <c r="D230" t="s">
        <v>18</v>
      </c>
      <c r="E230" t="s">
        <v>17</v>
      </c>
      <c r="F230" s="23">
        <v>10</v>
      </c>
      <c r="G230" s="19" t="s">
        <v>11</v>
      </c>
      <c r="H230" s="34">
        <f>INDEX(U:U, MATCH(G230, T:T, 0))*F230</f>
        <v>2.5</v>
      </c>
      <c r="I230" s="34">
        <f t="shared" si="6"/>
        <v>0</v>
      </c>
      <c r="J230" s="34">
        <f t="shared" si="7"/>
        <v>0</v>
      </c>
    </row>
    <row r="231" spans="1:11" ht="18" customHeight="1" x14ac:dyDescent="0.35">
      <c r="A231" s="9">
        <v>27</v>
      </c>
      <c r="B231" t="s">
        <v>18</v>
      </c>
      <c r="C231" t="s">
        <v>17</v>
      </c>
      <c r="D231" t="s">
        <v>17</v>
      </c>
      <c r="E231" t="s">
        <v>17</v>
      </c>
      <c r="F231" s="23">
        <v>5</v>
      </c>
      <c r="G231" s="19" t="s">
        <v>11</v>
      </c>
      <c r="H231" s="34">
        <f>INDEX(U:U, MATCH(G231, T:T, 0))*F231</f>
        <v>1.25</v>
      </c>
      <c r="I231" s="34">
        <f t="shared" si="6"/>
        <v>0</v>
      </c>
      <c r="J231" s="34">
        <f t="shared" si="7"/>
        <v>0</v>
      </c>
    </row>
    <row r="232" spans="1:11" ht="18" customHeight="1" x14ac:dyDescent="0.35">
      <c r="A232" s="9">
        <v>48</v>
      </c>
      <c r="B232" t="s">
        <v>18</v>
      </c>
      <c r="C232" t="s">
        <v>18</v>
      </c>
      <c r="D232" t="s">
        <v>18</v>
      </c>
      <c r="E232" t="s">
        <v>17</v>
      </c>
      <c r="F232" s="23">
        <v>15</v>
      </c>
      <c r="G232" s="19" t="s">
        <v>11</v>
      </c>
      <c r="H232" s="34">
        <f>INDEX(U:U, MATCH(G232, T:T, 0))*F232</f>
        <v>3.75</v>
      </c>
      <c r="I232" s="34">
        <f t="shared" si="6"/>
        <v>0</v>
      </c>
      <c r="J232" s="34">
        <f t="shared" si="7"/>
        <v>0</v>
      </c>
    </row>
    <row r="233" spans="1:11" ht="18" customHeight="1" x14ac:dyDescent="0.35">
      <c r="A233" s="9">
        <v>49</v>
      </c>
      <c r="B233" t="s">
        <v>18</v>
      </c>
      <c r="C233" t="s">
        <v>17</v>
      </c>
      <c r="D233" t="s">
        <v>17</v>
      </c>
      <c r="E233" t="s">
        <v>17</v>
      </c>
      <c r="F233" s="23">
        <v>10</v>
      </c>
      <c r="G233" s="19" t="s">
        <v>11</v>
      </c>
      <c r="H233" s="34">
        <f>INDEX(U:U, MATCH(G233, T:T, 0))*F233</f>
        <v>2.5</v>
      </c>
      <c r="I233" s="34">
        <f t="shared" si="6"/>
        <v>0</v>
      </c>
      <c r="J233" s="34">
        <f t="shared" si="7"/>
        <v>0</v>
      </c>
    </row>
    <row r="234" spans="1:11" ht="18" customHeight="1" x14ac:dyDescent="0.35">
      <c r="A234" s="9">
        <v>50</v>
      </c>
      <c r="B234" t="s">
        <v>18</v>
      </c>
      <c r="C234" t="s">
        <v>17</v>
      </c>
      <c r="D234" t="s">
        <v>17</v>
      </c>
      <c r="E234" t="s">
        <v>17</v>
      </c>
      <c r="F234" s="23">
        <v>5</v>
      </c>
      <c r="G234" s="19" t="s">
        <v>11</v>
      </c>
      <c r="H234" s="34">
        <f>INDEX(U:U, MATCH(G234, T:T, 0))*F234</f>
        <v>1.25</v>
      </c>
      <c r="I234" s="34">
        <f t="shared" si="6"/>
        <v>0</v>
      </c>
      <c r="J234" s="34">
        <f t="shared" si="7"/>
        <v>0</v>
      </c>
    </row>
    <row r="235" spans="1:11" ht="18" customHeight="1" x14ac:dyDescent="0.35">
      <c r="A235" s="9">
        <v>68</v>
      </c>
      <c r="B235" t="s">
        <v>17</v>
      </c>
      <c r="C235" t="s">
        <v>18</v>
      </c>
      <c r="D235" t="s">
        <v>17</v>
      </c>
      <c r="E235" t="s">
        <v>17</v>
      </c>
      <c r="F235" s="23">
        <v>5</v>
      </c>
      <c r="G235" s="19" t="s">
        <v>11</v>
      </c>
      <c r="H235" s="34">
        <f>INDEX(U:U, MATCH(G235, T:T, 0))*F235</f>
        <v>1.25</v>
      </c>
      <c r="I235" s="34">
        <f t="shared" si="6"/>
        <v>0</v>
      </c>
      <c r="J235" s="34">
        <f t="shared" si="7"/>
        <v>0</v>
      </c>
    </row>
    <row r="236" spans="1:11" ht="18" customHeight="1" x14ac:dyDescent="0.35">
      <c r="A236" s="9">
        <v>71</v>
      </c>
      <c r="B236" t="s">
        <v>17</v>
      </c>
      <c r="C236" t="s">
        <v>18</v>
      </c>
      <c r="D236" t="s">
        <v>17</v>
      </c>
      <c r="E236" t="s">
        <v>17</v>
      </c>
      <c r="F236" s="23">
        <v>5</v>
      </c>
      <c r="G236" s="19" t="s">
        <v>11</v>
      </c>
      <c r="H236" s="34">
        <f>INDEX(U:U, MATCH(G236, T:T, 0))*F236</f>
        <v>1.25</v>
      </c>
      <c r="I236" s="34">
        <f t="shared" si="6"/>
        <v>0</v>
      </c>
      <c r="J236" s="34">
        <f t="shared" si="7"/>
        <v>0</v>
      </c>
    </row>
    <row r="237" spans="1:11" ht="18" customHeight="1" x14ac:dyDescent="0.35">
      <c r="A237" s="9">
        <v>76</v>
      </c>
      <c r="B237" t="s">
        <v>17</v>
      </c>
      <c r="C237" t="s">
        <v>18</v>
      </c>
      <c r="D237" t="s">
        <v>17</v>
      </c>
      <c r="E237" t="s">
        <v>17</v>
      </c>
      <c r="F237" s="23">
        <v>5</v>
      </c>
      <c r="G237" s="19" t="s">
        <v>11</v>
      </c>
      <c r="H237" s="34">
        <f>INDEX(U:U, MATCH(G237, T:T, 0))*F237</f>
        <v>1.25</v>
      </c>
      <c r="I237" s="34">
        <f t="shared" si="6"/>
        <v>0</v>
      </c>
      <c r="J237" s="34">
        <f t="shared" si="7"/>
        <v>0</v>
      </c>
    </row>
    <row r="238" spans="1:11" ht="18" customHeight="1" x14ac:dyDescent="0.35">
      <c r="A238" s="9">
        <v>77</v>
      </c>
      <c r="B238" t="s">
        <v>17</v>
      </c>
      <c r="C238" t="s">
        <v>18</v>
      </c>
      <c r="D238" t="s">
        <v>17</v>
      </c>
      <c r="E238" t="s">
        <v>17</v>
      </c>
      <c r="F238" s="23">
        <v>10</v>
      </c>
      <c r="G238" s="19" t="s">
        <v>11</v>
      </c>
      <c r="H238" s="34">
        <f>INDEX(U:U, MATCH(G238, T:T, 0))*F238</f>
        <v>2.5</v>
      </c>
      <c r="I238" s="34">
        <f t="shared" si="6"/>
        <v>0</v>
      </c>
      <c r="J238" s="34">
        <f t="shared" si="7"/>
        <v>0</v>
      </c>
    </row>
    <row r="239" spans="1:11" ht="18" customHeight="1" x14ac:dyDescent="0.35">
      <c r="A239" s="9">
        <v>80</v>
      </c>
      <c r="B239" t="s">
        <v>17</v>
      </c>
      <c r="C239" t="s">
        <v>18</v>
      </c>
      <c r="D239" t="s">
        <v>17</v>
      </c>
      <c r="E239" t="s">
        <v>17</v>
      </c>
      <c r="F239" s="23">
        <v>5</v>
      </c>
      <c r="G239" s="19" t="s">
        <v>11</v>
      </c>
      <c r="H239" s="34">
        <f>INDEX(U:U, MATCH(G239, T:T, 0))*F239</f>
        <v>1.25</v>
      </c>
      <c r="I239" s="34">
        <f t="shared" si="6"/>
        <v>0</v>
      </c>
      <c r="J239" s="34">
        <f t="shared" si="7"/>
        <v>0</v>
      </c>
    </row>
    <row r="240" spans="1:11" ht="18" customHeight="1" x14ac:dyDescent="0.35">
      <c r="A240" s="9">
        <v>84</v>
      </c>
      <c r="B240" t="s">
        <v>17</v>
      </c>
      <c r="C240" t="s">
        <v>18</v>
      </c>
      <c r="D240" t="s">
        <v>17</v>
      </c>
      <c r="E240" t="s">
        <v>17</v>
      </c>
      <c r="F240" s="23">
        <v>5</v>
      </c>
      <c r="G240" s="19" t="s">
        <v>11</v>
      </c>
      <c r="H240" s="34">
        <f>INDEX(U:U, MATCH(G240, T:T, 0))*F240</f>
        <v>1.25</v>
      </c>
      <c r="I240" s="34">
        <f t="shared" si="6"/>
        <v>0</v>
      </c>
      <c r="J240" s="34">
        <f t="shared" si="7"/>
        <v>0</v>
      </c>
    </row>
    <row r="241" spans="1:17" ht="18" customHeight="1" x14ac:dyDescent="0.35">
      <c r="A241" s="9">
        <v>87</v>
      </c>
      <c r="B241" t="s">
        <v>17</v>
      </c>
      <c r="C241" t="s">
        <v>18</v>
      </c>
      <c r="D241" t="s">
        <v>17</v>
      </c>
      <c r="E241" t="s">
        <v>17</v>
      </c>
      <c r="F241" s="23">
        <v>10</v>
      </c>
      <c r="G241" s="19" t="s">
        <v>11</v>
      </c>
      <c r="H241" s="34">
        <f>INDEX(U:U, MATCH(G241, T:T, 0))*F241</f>
        <v>2.5</v>
      </c>
      <c r="I241" s="34">
        <f t="shared" si="6"/>
        <v>0</v>
      </c>
      <c r="J241" s="34">
        <f t="shared" si="7"/>
        <v>0</v>
      </c>
    </row>
    <row r="242" spans="1:17" ht="18" customHeight="1" x14ac:dyDescent="0.35">
      <c r="A242" s="9">
        <v>97</v>
      </c>
      <c r="B242" t="s">
        <v>17</v>
      </c>
      <c r="C242" t="s">
        <v>18</v>
      </c>
      <c r="D242" t="s">
        <v>17</v>
      </c>
      <c r="E242" t="s">
        <v>17</v>
      </c>
      <c r="F242" s="23">
        <v>5</v>
      </c>
      <c r="G242" s="19" t="s">
        <v>11</v>
      </c>
      <c r="H242" s="34">
        <f>INDEX(U:U, MATCH(G242, T:T, 0))*F242</f>
        <v>1.25</v>
      </c>
      <c r="I242" s="34">
        <f t="shared" si="6"/>
        <v>0</v>
      </c>
      <c r="J242" s="34">
        <f t="shared" si="7"/>
        <v>0</v>
      </c>
      <c r="K242" s="41" t="s">
        <v>82</v>
      </c>
    </row>
    <row r="243" spans="1:17" ht="18" customHeight="1" x14ac:dyDescent="0.35">
      <c r="A243" s="9">
        <v>104</v>
      </c>
      <c r="B243" t="s">
        <v>17</v>
      </c>
      <c r="C243" t="s">
        <v>18</v>
      </c>
      <c r="D243" t="s">
        <v>17</v>
      </c>
      <c r="E243" t="s">
        <v>17</v>
      </c>
      <c r="F243" s="23">
        <v>5</v>
      </c>
      <c r="G243" s="19" t="s">
        <v>11</v>
      </c>
      <c r="H243" s="34">
        <f>INDEX(U:U, MATCH(G243, T:T, 0))*F243</f>
        <v>1.25</v>
      </c>
      <c r="I243" s="34">
        <f t="shared" si="6"/>
        <v>0</v>
      </c>
      <c r="J243" s="34">
        <f t="shared" si="7"/>
        <v>0</v>
      </c>
    </row>
    <row r="244" spans="1:17" ht="18" customHeight="1" x14ac:dyDescent="0.35">
      <c r="A244" s="9">
        <v>121</v>
      </c>
      <c r="B244" t="s">
        <v>18</v>
      </c>
      <c r="C244" t="s">
        <v>18</v>
      </c>
      <c r="D244" t="s">
        <v>18</v>
      </c>
      <c r="E244" t="s">
        <v>17</v>
      </c>
      <c r="F244" s="23">
        <v>20</v>
      </c>
      <c r="G244" s="19" t="s">
        <v>11</v>
      </c>
      <c r="H244" s="34">
        <f>INDEX(U:U, MATCH(G244, T:T, 0))*F244</f>
        <v>5</v>
      </c>
      <c r="I244" s="34">
        <f t="shared" si="6"/>
        <v>0</v>
      </c>
      <c r="J244" s="34">
        <f t="shared" si="7"/>
        <v>0</v>
      </c>
      <c r="K244" s="41" t="s">
        <v>97</v>
      </c>
    </row>
    <row r="245" spans="1:17" ht="18" customHeight="1" x14ac:dyDescent="0.35">
      <c r="A245" s="9">
        <v>139</v>
      </c>
      <c r="B245" t="s">
        <v>17</v>
      </c>
      <c r="C245" t="s">
        <v>17</v>
      </c>
      <c r="D245" t="s">
        <v>18</v>
      </c>
      <c r="E245" t="s">
        <v>17</v>
      </c>
      <c r="F245" s="23">
        <v>1</v>
      </c>
      <c r="G245" s="19" t="s">
        <v>11</v>
      </c>
      <c r="H245" s="34">
        <f>INDEX(U:U, MATCH(G245, T:T, 0))*F245</f>
        <v>0.25</v>
      </c>
      <c r="I245" s="34">
        <f t="shared" si="6"/>
        <v>0</v>
      </c>
      <c r="J245" s="34">
        <f t="shared" si="7"/>
        <v>0</v>
      </c>
      <c r="K245" s="41" t="s">
        <v>31</v>
      </c>
    </row>
    <row r="246" spans="1:17" ht="18" customHeight="1" x14ac:dyDescent="0.35">
      <c r="A246" s="9">
        <v>150</v>
      </c>
      <c r="B246" t="s">
        <v>17</v>
      </c>
      <c r="C246" t="s">
        <v>18</v>
      </c>
      <c r="D246" t="s">
        <v>17</v>
      </c>
      <c r="E246" t="s">
        <v>17</v>
      </c>
      <c r="F246" s="23">
        <v>1</v>
      </c>
      <c r="G246" s="19" t="s">
        <v>11</v>
      </c>
      <c r="H246" s="34">
        <f>INDEX(U:U, MATCH(G246, T:T, 0))*F246</f>
        <v>0.25</v>
      </c>
      <c r="I246" s="34">
        <f t="shared" si="6"/>
        <v>0</v>
      </c>
      <c r="J246" s="34">
        <f t="shared" si="7"/>
        <v>0</v>
      </c>
      <c r="K246" s="41" t="s">
        <v>31</v>
      </c>
    </row>
    <row r="247" spans="1:17" ht="18" customHeight="1" x14ac:dyDescent="0.35">
      <c r="A247" s="9">
        <v>152</v>
      </c>
      <c r="B247" t="s">
        <v>17</v>
      </c>
      <c r="C247" t="s">
        <v>18</v>
      </c>
      <c r="D247" t="s">
        <v>17</v>
      </c>
      <c r="E247" t="s">
        <v>17</v>
      </c>
      <c r="F247" s="23">
        <v>5</v>
      </c>
      <c r="G247" s="19" t="s">
        <v>11</v>
      </c>
      <c r="H247" s="34">
        <f>INDEX(U:U, MATCH(G247, T:T, 0))*F247</f>
        <v>1.25</v>
      </c>
      <c r="I247" s="34">
        <f t="shared" si="6"/>
        <v>0</v>
      </c>
      <c r="J247" s="34">
        <f t="shared" si="7"/>
        <v>0</v>
      </c>
      <c r="L247" s="30"/>
      <c r="M247" s="45"/>
      <c r="O247" s="45"/>
      <c r="P247" s="31"/>
      <c r="Q247" s="31"/>
    </row>
    <row r="248" spans="1:17" ht="18" customHeight="1" x14ac:dyDescent="0.35">
      <c r="A248" s="9">
        <v>195</v>
      </c>
      <c r="B248" t="s">
        <v>18</v>
      </c>
      <c r="C248" t="s">
        <v>17</v>
      </c>
      <c r="D248" t="s">
        <v>17</v>
      </c>
      <c r="E248" t="s">
        <v>17</v>
      </c>
      <c r="F248" s="23">
        <v>5</v>
      </c>
      <c r="G248" s="19" t="s">
        <v>11</v>
      </c>
      <c r="H248" s="34">
        <f>INDEX(U:U, MATCH(G248, T:T, 0))*F248</f>
        <v>1.25</v>
      </c>
      <c r="I248" s="34">
        <f t="shared" si="6"/>
        <v>0</v>
      </c>
      <c r="J248" s="34">
        <f t="shared" si="7"/>
        <v>0</v>
      </c>
    </row>
    <row r="249" spans="1:17" ht="18" customHeight="1" x14ac:dyDescent="0.35">
      <c r="A249" s="9">
        <v>200</v>
      </c>
      <c r="B249" t="s">
        <v>18</v>
      </c>
      <c r="C249" t="s">
        <v>17</v>
      </c>
      <c r="D249" t="s">
        <v>17</v>
      </c>
      <c r="E249" t="s">
        <v>17</v>
      </c>
      <c r="F249" s="23">
        <v>10</v>
      </c>
      <c r="G249" s="19" t="s">
        <v>11</v>
      </c>
      <c r="H249" s="34">
        <f>INDEX(U:U, MATCH(G249, T:T, 0))*F249</f>
        <v>2.5</v>
      </c>
      <c r="I249" s="34">
        <f t="shared" si="6"/>
        <v>0</v>
      </c>
      <c r="J249" s="34">
        <f t="shared" si="7"/>
        <v>0</v>
      </c>
    </row>
    <row r="250" spans="1:17" ht="18" customHeight="1" x14ac:dyDescent="0.35">
      <c r="A250" s="9">
        <v>213</v>
      </c>
      <c r="B250" t="s">
        <v>18</v>
      </c>
      <c r="C250" t="s">
        <v>17</v>
      </c>
      <c r="D250" t="s">
        <v>17</v>
      </c>
      <c r="E250" t="s">
        <v>17</v>
      </c>
      <c r="F250" s="23">
        <v>5</v>
      </c>
      <c r="G250" s="19" t="s">
        <v>11</v>
      </c>
      <c r="H250" s="34">
        <f>INDEX(U:U, MATCH(G250, T:T, 0))*F250</f>
        <v>1.25</v>
      </c>
      <c r="I250" s="34">
        <f t="shared" si="6"/>
        <v>0</v>
      </c>
      <c r="J250" s="34">
        <f t="shared" si="7"/>
        <v>0</v>
      </c>
    </row>
    <row r="251" spans="1:17" ht="18" customHeight="1" x14ac:dyDescent="0.35">
      <c r="A251" s="9">
        <v>226</v>
      </c>
      <c r="B251" t="s">
        <v>17</v>
      </c>
      <c r="C251" t="s">
        <v>18</v>
      </c>
      <c r="D251" t="s">
        <v>17</v>
      </c>
      <c r="E251" t="s">
        <v>17</v>
      </c>
      <c r="F251" s="23">
        <v>5</v>
      </c>
      <c r="G251" s="19" t="s">
        <v>11</v>
      </c>
      <c r="H251" s="34">
        <f>INDEX(U:U, MATCH(G251, T:T, 0))*F251</f>
        <v>1.25</v>
      </c>
      <c r="I251" s="34">
        <f t="shared" si="6"/>
        <v>0</v>
      </c>
      <c r="J251" s="34">
        <f t="shared" si="7"/>
        <v>0</v>
      </c>
    </row>
    <row r="252" spans="1:17" ht="18" customHeight="1" x14ac:dyDescent="0.35">
      <c r="A252" s="9">
        <v>308</v>
      </c>
      <c r="B252" t="s">
        <v>17</v>
      </c>
      <c r="C252" t="s">
        <v>18</v>
      </c>
      <c r="D252" t="s">
        <v>17</v>
      </c>
      <c r="E252" t="s">
        <v>17</v>
      </c>
      <c r="F252" s="23">
        <v>5</v>
      </c>
      <c r="G252" s="19" t="s">
        <v>11</v>
      </c>
      <c r="H252" s="34">
        <f>INDEX(U:U, MATCH(G252, T:T, 0))*F252</f>
        <v>1.25</v>
      </c>
      <c r="I252" s="34">
        <f t="shared" si="6"/>
        <v>0</v>
      </c>
      <c r="J252" s="34">
        <f t="shared" si="7"/>
        <v>0</v>
      </c>
    </row>
    <row r="253" spans="1:17" ht="18" customHeight="1" x14ac:dyDescent="0.35">
      <c r="A253" s="9">
        <v>329</v>
      </c>
      <c r="B253" t="s">
        <v>17</v>
      </c>
      <c r="C253" t="s">
        <v>18</v>
      </c>
      <c r="D253" t="s">
        <v>17</v>
      </c>
      <c r="E253" t="s">
        <v>17</v>
      </c>
      <c r="F253" s="23">
        <v>5</v>
      </c>
      <c r="G253" s="19" t="s">
        <v>11</v>
      </c>
      <c r="H253" s="34">
        <f>INDEX(U:U, MATCH(G253, T:T, 0))*F253</f>
        <v>1.25</v>
      </c>
      <c r="I253" s="34">
        <f t="shared" si="6"/>
        <v>0</v>
      </c>
      <c r="J253" s="34">
        <f t="shared" si="7"/>
        <v>0</v>
      </c>
    </row>
    <row r="254" spans="1:17" ht="18" customHeight="1" x14ac:dyDescent="0.35">
      <c r="A254" s="9">
        <v>343</v>
      </c>
      <c r="B254" t="s">
        <v>17</v>
      </c>
      <c r="C254" t="s">
        <v>18</v>
      </c>
      <c r="D254" t="s">
        <v>17</v>
      </c>
      <c r="E254" t="s">
        <v>17</v>
      </c>
      <c r="F254" s="23">
        <v>1</v>
      </c>
      <c r="G254" s="19" t="s">
        <v>11</v>
      </c>
      <c r="H254" s="34">
        <f>INDEX(U:U, MATCH(G254, T:T, 0))*F254</f>
        <v>0.25</v>
      </c>
      <c r="I254" s="34">
        <f t="shared" si="6"/>
        <v>0</v>
      </c>
      <c r="J254" s="34">
        <f t="shared" si="7"/>
        <v>0</v>
      </c>
      <c r="K254" s="41" t="s">
        <v>94</v>
      </c>
    </row>
    <row r="255" spans="1:17" ht="18" customHeight="1" x14ac:dyDescent="0.35">
      <c r="A255" s="9">
        <v>368</v>
      </c>
      <c r="B255" t="s">
        <v>17</v>
      </c>
      <c r="C255" t="s">
        <v>18</v>
      </c>
      <c r="D255" t="s">
        <v>17</v>
      </c>
      <c r="E255" t="s">
        <v>17</v>
      </c>
      <c r="F255" s="23">
        <v>1</v>
      </c>
      <c r="G255" s="19" t="s">
        <v>11</v>
      </c>
      <c r="H255" s="34">
        <f>INDEX(U:U, MATCH(G255, T:T, 0))*F255</f>
        <v>0.25</v>
      </c>
      <c r="I255" s="34">
        <f t="shared" si="6"/>
        <v>0</v>
      </c>
      <c r="J255" s="34">
        <f t="shared" si="7"/>
        <v>0</v>
      </c>
    </row>
    <row r="256" spans="1:17" ht="18" customHeight="1" x14ac:dyDescent="0.35">
      <c r="A256" s="9">
        <v>379</v>
      </c>
      <c r="B256" t="s">
        <v>17</v>
      </c>
      <c r="C256" t="s">
        <v>17</v>
      </c>
      <c r="D256" t="s">
        <v>18</v>
      </c>
      <c r="E256" t="s">
        <v>17</v>
      </c>
      <c r="F256" s="23">
        <v>20</v>
      </c>
      <c r="G256" s="19" t="s">
        <v>11</v>
      </c>
      <c r="H256" s="34">
        <f>INDEX(U:U, MATCH(G256, T:T, 0))*F256</f>
        <v>5</v>
      </c>
      <c r="I256" s="34">
        <f t="shared" si="6"/>
        <v>0</v>
      </c>
      <c r="J256" s="34">
        <f t="shared" si="7"/>
        <v>0</v>
      </c>
      <c r="K256" s="41" t="s">
        <v>68</v>
      </c>
    </row>
    <row r="257" spans="1:18" ht="18" customHeight="1" x14ac:dyDescent="0.35">
      <c r="A257" s="9">
        <v>380</v>
      </c>
      <c r="B257" t="s">
        <v>17</v>
      </c>
      <c r="C257" t="s">
        <v>18</v>
      </c>
      <c r="D257" t="s">
        <v>18</v>
      </c>
      <c r="E257" t="s">
        <v>17</v>
      </c>
      <c r="F257" s="23">
        <v>5</v>
      </c>
      <c r="G257" s="19" t="s">
        <v>11</v>
      </c>
      <c r="H257" s="34">
        <f>INDEX(U:U, MATCH(G257, T:T, 0))*F257</f>
        <v>1.25</v>
      </c>
      <c r="I257" s="34">
        <f t="shared" si="6"/>
        <v>0</v>
      </c>
      <c r="J257" s="34">
        <f t="shared" si="7"/>
        <v>0</v>
      </c>
    </row>
    <row r="258" spans="1:18" ht="18" customHeight="1" x14ac:dyDescent="0.35">
      <c r="A258" s="9">
        <v>381</v>
      </c>
      <c r="B258" t="s">
        <v>17</v>
      </c>
      <c r="C258" t="s">
        <v>18</v>
      </c>
      <c r="D258" t="s">
        <v>17</v>
      </c>
      <c r="E258" t="s">
        <v>17</v>
      </c>
      <c r="F258" s="23">
        <v>5</v>
      </c>
      <c r="G258" s="19" t="s">
        <v>11</v>
      </c>
      <c r="H258" s="34">
        <f>INDEX(U:U, MATCH(G258, T:T, 0))*F258</f>
        <v>1.25</v>
      </c>
      <c r="I258" s="34">
        <f t="shared" ref="I258:I321" si="8">IF(COUNTIF($T$3:$T$6, G258) &gt; 0, 0, 1)</f>
        <v>0</v>
      </c>
      <c r="J258" s="34">
        <f t="shared" ref="J258:J321" si="9">IF(COUNTIF(T$3:T$5, G258) &gt; 0, 0, 1)</f>
        <v>0</v>
      </c>
    </row>
    <row r="259" spans="1:18" ht="18" customHeight="1" x14ac:dyDescent="0.35">
      <c r="A259" s="9">
        <v>399</v>
      </c>
      <c r="B259" t="s">
        <v>17</v>
      </c>
      <c r="C259" t="s">
        <v>17</v>
      </c>
      <c r="D259" t="s">
        <v>18</v>
      </c>
      <c r="E259" t="s">
        <v>17</v>
      </c>
      <c r="F259" s="23">
        <v>5</v>
      </c>
      <c r="G259" s="19" t="s">
        <v>11</v>
      </c>
      <c r="H259" s="34">
        <f>INDEX(U:U, MATCH(G259, T:T, 0))*F259</f>
        <v>1.25</v>
      </c>
      <c r="I259" s="34">
        <f t="shared" si="8"/>
        <v>0</v>
      </c>
      <c r="J259" s="34">
        <f t="shared" si="9"/>
        <v>0</v>
      </c>
      <c r="N259" s="1" t="s">
        <v>12</v>
      </c>
      <c r="O259" s="1">
        <f>INDEX(W:W, MATCH(N259, V:V, 0))*M259</f>
        <v>0</v>
      </c>
      <c r="P259" s="19">
        <f>H259-O259</f>
        <v>1.25</v>
      </c>
      <c r="R259" s="49" t="s">
        <v>120</v>
      </c>
    </row>
    <row r="260" spans="1:18" ht="18" customHeight="1" x14ac:dyDescent="0.35">
      <c r="A260" s="9">
        <v>403</v>
      </c>
      <c r="B260" t="s">
        <v>17</v>
      </c>
      <c r="C260" t="s">
        <v>18</v>
      </c>
      <c r="D260" t="s">
        <v>17</v>
      </c>
      <c r="E260" t="s">
        <v>17</v>
      </c>
      <c r="F260" s="23">
        <v>1</v>
      </c>
      <c r="G260" s="19" t="s">
        <v>11</v>
      </c>
      <c r="H260" s="34">
        <f>INDEX(U:U, MATCH(G260, T:T, 0))*F260</f>
        <v>0.25</v>
      </c>
      <c r="I260" s="34">
        <f t="shared" si="8"/>
        <v>0</v>
      </c>
      <c r="J260" s="34">
        <f t="shared" si="9"/>
        <v>0</v>
      </c>
      <c r="K260" s="41" t="s">
        <v>52</v>
      </c>
    </row>
    <row r="261" spans="1:18" ht="18" customHeight="1" x14ac:dyDescent="0.35">
      <c r="A261" s="9">
        <v>404</v>
      </c>
      <c r="B261" t="s">
        <v>17</v>
      </c>
      <c r="C261" t="s">
        <v>18</v>
      </c>
      <c r="D261" t="s">
        <v>17</v>
      </c>
      <c r="E261" t="s">
        <v>17</v>
      </c>
      <c r="F261" s="23">
        <v>5</v>
      </c>
      <c r="G261" s="19" t="s">
        <v>11</v>
      </c>
      <c r="H261" s="34">
        <f>INDEX(U:U, MATCH(G261, T:T, 0))*F261</f>
        <v>1.25</v>
      </c>
      <c r="I261" s="34">
        <f t="shared" si="8"/>
        <v>0</v>
      </c>
      <c r="J261" s="34">
        <f t="shared" si="9"/>
        <v>0</v>
      </c>
    </row>
    <row r="262" spans="1:18" ht="18" customHeight="1" x14ac:dyDescent="0.35">
      <c r="A262" s="9">
        <v>425</v>
      </c>
      <c r="B262" t="s">
        <v>17</v>
      </c>
      <c r="C262" t="s">
        <v>18</v>
      </c>
      <c r="D262" t="s">
        <v>17</v>
      </c>
      <c r="E262" t="s">
        <v>17</v>
      </c>
      <c r="F262" s="23">
        <v>10</v>
      </c>
      <c r="G262" s="19" t="s">
        <v>11</v>
      </c>
      <c r="H262" s="34">
        <f>INDEX(U:U, MATCH(G262, T:T, 0))*F262</f>
        <v>2.5</v>
      </c>
      <c r="I262" s="34">
        <f t="shared" si="8"/>
        <v>0</v>
      </c>
      <c r="J262" s="34">
        <f t="shared" si="9"/>
        <v>0</v>
      </c>
    </row>
    <row r="263" spans="1:18" ht="18" customHeight="1" x14ac:dyDescent="0.35">
      <c r="A263" s="9">
        <v>436</v>
      </c>
      <c r="B263" t="s">
        <v>17</v>
      </c>
      <c r="C263" t="s">
        <v>18</v>
      </c>
      <c r="D263" t="s">
        <v>18</v>
      </c>
      <c r="E263" t="s">
        <v>17</v>
      </c>
      <c r="F263" s="23">
        <v>10</v>
      </c>
      <c r="G263" s="19" t="s">
        <v>11</v>
      </c>
      <c r="H263" s="34">
        <f>INDEX(U:U, MATCH(G263, T:T, 0))*F263</f>
        <v>2.5</v>
      </c>
      <c r="I263" s="34">
        <f t="shared" si="8"/>
        <v>0</v>
      </c>
      <c r="J263" s="34">
        <f t="shared" si="9"/>
        <v>0</v>
      </c>
    </row>
    <row r="264" spans="1:18" ht="18" customHeight="1" x14ac:dyDescent="0.35">
      <c r="A264" s="9">
        <v>451</v>
      </c>
      <c r="B264" t="s">
        <v>18</v>
      </c>
      <c r="C264" t="s">
        <v>17</v>
      </c>
      <c r="D264" t="s">
        <v>18</v>
      </c>
      <c r="E264" t="s">
        <v>17</v>
      </c>
      <c r="F264" s="23">
        <v>5</v>
      </c>
      <c r="G264" s="19" t="s">
        <v>11</v>
      </c>
      <c r="H264" s="34">
        <f>INDEX(U:U, MATCH(G264, T:T, 0))*F264</f>
        <v>1.25</v>
      </c>
      <c r="I264" s="34">
        <f t="shared" si="8"/>
        <v>0</v>
      </c>
      <c r="J264" s="34">
        <f t="shared" si="9"/>
        <v>0</v>
      </c>
    </row>
    <row r="265" spans="1:18" ht="18" customHeight="1" x14ac:dyDescent="0.35">
      <c r="A265" s="9">
        <v>454</v>
      </c>
      <c r="B265" t="s">
        <v>17</v>
      </c>
      <c r="C265" t="s">
        <v>17</v>
      </c>
      <c r="D265" t="s">
        <v>18</v>
      </c>
      <c r="E265" t="s">
        <v>17</v>
      </c>
      <c r="F265" s="23">
        <v>1</v>
      </c>
      <c r="G265" s="19" t="s">
        <v>11</v>
      </c>
      <c r="H265" s="34">
        <f>INDEX(U:U, MATCH(G265, T:T, 0))*F265</f>
        <v>0.25</v>
      </c>
      <c r="I265" s="34">
        <f t="shared" si="8"/>
        <v>0</v>
      </c>
      <c r="J265" s="34">
        <f t="shared" si="9"/>
        <v>0</v>
      </c>
    </row>
    <row r="266" spans="1:18" ht="18" customHeight="1" x14ac:dyDescent="0.35">
      <c r="A266" s="9">
        <v>455</v>
      </c>
      <c r="B266" t="s">
        <v>17</v>
      </c>
      <c r="C266" t="s">
        <v>18</v>
      </c>
      <c r="D266" t="s">
        <v>17</v>
      </c>
      <c r="E266" t="s">
        <v>17</v>
      </c>
      <c r="F266" s="23">
        <v>10</v>
      </c>
      <c r="G266" s="19" t="s">
        <v>11</v>
      </c>
      <c r="H266" s="34">
        <f>INDEX(U:U, MATCH(G266, T:T, 0))*F266</f>
        <v>2.5</v>
      </c>
      <c r="I266" s="34">
        <f t="shared" si="8"/>
        <v>0</v>
      </c>
      <c r="J266" s="34">
        <f t="shared" si="9"/>
        <v>0</v>
      </c>
    </row>
    <row r="267" spans="1:18" ht="18" customHeight="1" x14ac:dyDescent="0.35">
      <c r="A267" s="9">
        <v>458</v>
      </c>
      <c r="B267" t="s">
        <v>17</v>
      </c>
      <c r="C267" t="s">
        <v>18</v>
      </c>
      <c r="D267" t="s">
        <v>17</v>
      </c>
      <c r="E267" t="s">
        <v>17</v>
      </c>
      <c r="F267" s="23">
        <v>5</v>
      </c>
      <c r="G267" s="19" t="s">
        <v>11</v>
      </c>
      <c r="H267" s="34">
        <f>INDEX(U:U, MATCH(G267, T:T, 0))*F267</f>
        <v>1.25</v>
      </c>
      <c r="I267" s="34">
        <f t="shared" si="8"/>
        <v>0</v>
      </c>
      <c r="J267" s="34">
        <f t="shared" si="9"/>
        <v>0</v>
      </c>
    </row>
    <row r="268" spans="1:18" ht="18" customHeight="1" x14ac:dyDescent="0.35">
      <c r="A268" s="9">
        <v>475</v>
      </c>
      <c r="B268" t="s">
        <v>17</v>
      </c>
      <c r="C268" t="s">
        <v>18</v>
      </c>
      <c r="D268" t="s">
        <v>17</v>
      </c>
      <c r="E268" t="s">
        <v>17</v>
      </c>
      <c r="F268" s="23">
        <v>5</v>
      </c>
      <c r="G268" s="19" t="s">
        <v>11</v>
      </c>
      <c r="H268" s="34">
        <f>INDEX(U:U, MATCH(G268, T:T, 0))*F268</f>
        <v>1.25</v>
      </c>
      <c r="I268" s="34">
        <f t="shared" si="8"/>
        <v>0</v>
      </c>
      <c r="J268" s="34">
        <f t="shared" si="9"/>
        <v>0</v>
      </c>
    </row>
    <row r="269" spans="1:18" ht="18" customHeight="1" x14ac:dyDescent="0.35">
      <c r="A269" s="9">
        <v>480</v>
      </c>
      <c r="B269" t="s">
        <v>18</v>
      </c>
      <c r="C269" t="s">
        <v>18</v>
      </c>
      <c r="D269" t="s">
        <v>17</v>
      </c>
      <c r="E269" t="s">
        <v>17</v>
      </c>
      <c r="F269" s="23">
        <v>5</v>
      </c>
      <c r="G269" s="19" t="s">
        <v>11</v>
      </c>
      <c r="H269" s="34">
        <f>INDEX(U:U, MATCH(G269, T:T, 0))*F269</f>
        <v>1.25</v>
      </c>
      <c r="I269" s="34">
        <f t="shared" si="8"/>
        <v>0</v>
      </c>
      <c r="J269" s="34">
        <f t="shared" si="9"/>
        <v>0</v>
      </c>
    </row>
    <row r="270" spans="1:18" ht="18" customHeight="1" x14ac:dyDescent="0.35">
      <c r="A270" s="9">
        <v>492</v>
      </c>
      <c r="B270" t="s">
        <v>17</v>
      </c>
      <c r="C270" t="s">
        <v>18</v>
      </c>
      <c r="D270" t="s">
        <v>17</v>
      </c>
      <c r="E270" t="s">
        <v>17</v>
      </c>
      <c r="F270" s="23">
        <v>1</v>
      </c>
      <c r="G270" s="19" t="s">
        <v>11</v>
      </c>
      <c r="H270" s="34">
        <f>INDEX(U:U, MATCH(G270, T:T, 0))*F270</f>
        <v>0.25</v>
      </c>
      <c r="I270" s="34">
        <f t="shared" si="8"/>
        <v>0</v>
      </c>
      <c r="J270" s="34">
        <f t="shared" si="9"/>
        <v>0</v>
      </c>
      <c r="K270" s="41" t="s">
        <v>61</v>
      </c>
    </row>
    <row r="271" spans="1:18" ht="18" customHeight="1" x14ac:dyDescent="0.35">
      <c r="A271" s="9">
        <v>493</v>
      </c>
      <c r="B271" t="s">
        <v>17</v>
      </c>
      <c r="C271" t="s">
        <v>17</v>
      </c>
      <c r="D271" t="s">
        <v>18</v>
      </c>
      <c r="E271" t="s">
        <v>17</v>
      </c>
      <c r="F271" s="23">
        <v>5</v>
      </c>
      <c r="G271" s="19" t="s">
        <v>11</v>
      </c>
      <c r="H271" s="34">
        <f>INDEX(U:U, MATCH(G271, T:T, 0))*F271</f>
        <v>1.25</v>
      </c>
      <c r="I271" s="34">
        <f t="shared" si="8"/>
        <v>0</v>
      </c>
      <c r="J271" s="34">
        <f t="shared" si="9"/>
        <v>0</v>
      </c>
      <c r="K271" s="41" t="s">
        <v>23</v>
      </c>
    </row>
    <row r="272" spans="1:18" ht="18" customHeight="1" x14ac:dyDescent="0.35">
      <c r="A272" s="9">
        <v>494</v>
      </c>
      <c r="B272" t="s">
        <v>18</v>
      </c>
      <c r="C272" t="s">
        <v>17</v>
      </c>
      <c r="D272" t="s">
        <v>17</v>
      </c>
      <c r="E272" t="s">
        <v>17</v>
      </c>
      <c r="F272" s="23">
        <v>5</v>
      </c>
      <c r="G272" s="19" t="s">
        <v>11</v>
      </c>
      <c r="H272" s="34">
        <f>INDEX(U:U, MATCH(G272, T:T, 0))*F272</f>
        <v>1.25</v>
      </c>
      <c r="I272" s="34">
        <f t="shared" si="8"/>
        <v>0</v>
      </c>
      <c r="J272" s="34">
        <f t="shared" si="9"/>
        <v>0</v>
      </c>
    </row>
    <row r="273" spans="1:11" ht="18" customHeight="1" x14ac:dyDescent="0.35">
      <c r="A273" s="9">
        <v>497</v>
      </c>
      <c r="B273" t="s">
        <v>18</v>
      </c>
      <c r="C273" t="s">
        <v>18</v>
      </c>
      <c r="D273" t="s">
        <v>17</v>
      </c>
      <c r="E273" t="s">
        <v>17</v>
      </c>
      <c r="F273" s="23">
        <v>10</v>
      </c>
      <c r="G273" s="19" t="s">
        <v>11</v>
      </c>
      <c r="H273" s="34">
        <f>INDEX(U:U, MATCH(G273, T:T, 0))*F273</f>
        <v>2.5</v>
      </c>
      <c r="I273" s="34">
        <f t="shared" si="8"/>
        <v>0</v>
      </c>
      <c r="J273" s="34">
        <f t="shared" si="9"/>
        <v>0</v>
      </c>
    </row>
    <row r="274" spans="1:11" ht="18" customHeight="1" x14ac:dyDescent="0.35">
      <c r="A274" s="9">
        <v>498</v>
      </c>
      <c r="B274" t="s">
        <v>17</v>
      </c>
      <c r="C274" t="s">
        <v>17</v>
      </c>
      <c r="D274" t="s">
        <v>18</v>
      </c>
      <c r="E274" t="s">
        <v>17</v>
      </c>
      <c r="F274" s="23">
        <v>5</v>
      </c>
      <c r="G274" s="19" t="s">
        <v>11</v>
      </c>
      <c r="H274" s="34">
        <f>INDEX(U:U, MATCH(G274, T:T, 0))*F274</f>
        <v>1.25</v>
      </c>
      <c r="I274" s="34">
        <f t="shared" si="8"/>
        <v>0</v>
      </c>
      <c r="J274" s="34">
        <f t="shared" si="9"/>
        <v>0</v>
      </c>
    </row>
    <row r="275" spans="1:11" ht="18" customHeight="1" x14ac:dyDescent="0.35">
      <c r="A275" s="9">
        <v>513</v>
      </c>
      <c r="B275" t="s">
        <v>17</v>
      </c>
      <c r="C275" t="s">
        <v>18</v>
      </c>
      <c r="D275" t="s">
        <v>18</v>
      </c>
      <c r="E275" t="s">
        <v>17</v>
      </c>
      <c r="F275" s="23">
        <v>5</v>
      </c>
      <c r="G275" s="19" t="s">
        <v>11</v>
      </c>
      <c r="H275" s="34">
        <f>INDEX(U:U, MATCH(G275, T:T, 0))*F275</f>
        <v>1.25</v>
      </c>
      <c r="I275" s="34">
        <f t="shared" si="8"/>
        <v>0</v>
      </c>
      <c r="J275" s="34">
        <f t="shared" si="9"/>
        <v>0</v>
      </c>
    </row>
    <row r="276" spans="1:11" ht="18" customHeight="1" x14ac:dyDescent="0.35">
      <c r="A276" s="9">
        <v>516</v>
      </c>
      <c r="B276" t="s">
        <v>17</v>
      </c>
      <c r="C276" t="s">
        <v>17</v>
      </c>
      <c r="D276" t="s">
        <v>18</v>
      </c>
      <c r="E276" t="s">
        <v>17</v>
      </c>
      <c r="F276" s="23">
        <v>5</v>
      </c>
      <c r="G276" s="19" t="s">
        <v>11</v>
      </c>
      <c r="H276" s="34">
        <f>INDEX(U:U, MATCH(G276, T:T, 0))*F276</f>
        <v>1.25</v>
      </c>
      <c r="I276" s="34">
        <f t="shared" si="8"/>
        <v>0</v>
      </c>
      <c r="J276" s="34">
        <f t="shared" si="9"/>
        <v>0</v>
      </c>
    </row>
    <row r="277" spans="1:11" ht="18" customHeight="1" x14ac:dyDescent="0.35">
      <c r="A277" s="9">
        <v>518</v>
      </c>
      <c r="B277" t="s">
        <v>18</v>
      </c>
      <c r="C277" t="s">
        <v>18</v>
      </c>
      <c r="D277" t="s">
        <v>17</v>
      </c>
      <c r="E277" t="s">
        <v>17</v>
      </c>
      <c r="F277" s="23">
        <v>5</v>
      </c>
      <c r="G277" s="19" t="s">
        <v>11</v>
      </c>
      <c r="H277" s="34">
        <f>INDEX(U:U, MATCH(G277, T:T, 0))*F277</f>
        <v>1.25</v>
      </c>
      <c r="I277" s="34">
        <f t="shared" si="8"/>
        <v>0</v>
      </c>
      <c r="J277" s="34">
        <f t="shared" si="9"/>
        <v>0</v>
      </c>
    </row>
    <row r="278" spans="1:11" ht="18" customHeight="1" x14ac:dyDescent="0.35">
      <c r="A278" s="9">
        <v>527</v>
      </c>
      <c r="B278" t="s">
        <v>18</v>
      </c>
      <c r="C278" t="s">
        <v>17</v>
      </c>
      <c r="D278" t="s">
        <v>17</v>
      </c>
      <c r="E278" t="s">
        <v>17</v>
      </c>
      <c r="F278" s="23">
        <v>5</v>
      </c>
      <c r="G278" s="19" t="s">
        <v>11</v>
      </c>
      <c r="H278" s="34">
        <f>INDEX(U:U, MATCH(G278, T:T, 0))*F278</f>
        <v>1.25</v>
      </c>
      <c r="I278" s="34">
        <f t="shared" si="8"/>
        <v>0</v>
      </c>
      <c r="J278" s="34">
        <f t="shared" si="9"/>
        <v>0</v>
      </c>
      <c r="K278" s="41" t="s">
        <v>77</v>
      </c>
    </row>
    <row r="279" spans="1:11" ht="18" customHeight="1" x14ac:dyDescent="0.35">
      <c r="A279" s="9">
        <v>530</v>
      </c>
      <c r="B279" t="s">
        <v>18</v>
      </c>
      <c r="C279" t="s">
        <v>17</v>
      </c>
      <c r="D279" t="s">
        <v>17</v>
      </c>
      <c r="E279" t="s">
        <v>17</v>
      </c>
      <c r="F279" s="23">
        <v>10</v>
      </c>
      <c r="G279" s="19" t="s">
        <v>11</v>
      </c>
      <c r="H279" s="34">
        <f>INDEX(U:U, MATCH(G279, T:T, 0))*F279</f>
        <v>2.5</v>
      </c>
      <c r="I279" s="34">
        <f t="shared" si="8"/>
        <v>0</v>
      </c>
      <c r="J279" s="34">
        <f t="shared" si="9"/>
        <v>0</v>
      </c>
    </row>
    <row r="280" spans="1:11" ht="18" customHeight="1" x14ac:dyDescent="0.35">
      <c r="A280" s="9">
        <v>531</v>
      </c>
      <c r="B280" t="s">
        <v>17</v>
      </c>
      <c r="C280" t="s">
        <v>18</v>
      </c>
      <c r="D280" t="s">
        <v>17</v>
      </c>
      <c r="E280" t="s">
        <v>17</v>
      </c>
      <c r="F280" s="23">
        <v>5</v>
      </c>
      <c r="G280" s="19" t="s">
        <v>11</v>
      </c>
      <c r="H280" s="34">
        <f>INDEX(U:U, MATCH(G280, T:T, 0))*F280</f>
        <v>1.25</v>
      </c>
      <c r="I280" s="34">
        <f t="shared" si="8"/>
        <v>0</v>
      </c>
      <c r="J280" s="34">
        <f t="shared" si="9"/>
        <v>0</v>
      </c>
    </row>
    <row r="281" spans="1:11" ht="18" customHeight="1" x14ac:dyDescent="0.35">
      <c r="A281" s="9">
        <v>533</v>
      </c>
      <c r="B281" t="s">
        <v>17</v>
      </c>
      <c r="C281" t="s">
        <v>17</v>
      </c>
      <c r="D281" t="s">
        <v>17</v>
      </c>
      <c r="E281" t="s">
        <v>17</v>
      </c>
      <c r="F281" s="23">
        <v>1</v>
      </c>
      <c r="G281" s="19" t="s">
        <v>11</v>
      </c>
      <c r="H281" s="34">
        <f>INDEX(U:U, MATCH(G281, T:T, 0))*F281</f>
        <v>0.25</v>
      </c>
      <c r="I281" s="34">
        <f t="shared" si="8"/>
        <v>0</v>
      </c>
      <c r="J281" s="34">
        <f t="shared" si="9"/>
        <v>0</v>
      </c>
    </row>
    <row r="282" spans="1:11" ht="18" customHeight="1" x14ac:dyDescent="0.35">
      <c r="A282" s="9">
        <v>534</v>
      </c>
      <c r="B282" t="s">
        <v>18</v>
      </c>
      <c r="C282" t="s">
        <v>17</v>
      </c>
      <c r="D282" t="s">
        <v>17</v>
      </c>
      <c r="E282" t="s">
        <v>17</v>
      </c>
      <c r="F282" s="23">
        <v>5</v>
      </c>
      <c r="G282" s="19" t="s">
        <v>11</v>
      </c>
      <c r="H282" s="34">
        <f>INDEX(U:U, MATCH(G282, T:T, 0))*F282</f>
        <v>1.25</v>
      </c>
      <c r="I282" s="34">
        <f t="shared" si="8"/>
        <v>0</v>
      </c>
      <c r="J282" s="34">
        <f t="shared" si="9"/>
        <v>0</v>
      </c>
    </row>
    <row r="283" spans="1:11" ht="18" customHeight="1" x14ac:dyDescent="0.35">
      <c r="A283" s="9">
        <v>567</v>
      </c>
      <c r="B283" t="s">
        <v>18</v>
      </c>
      <c r="C283" t="s">
        <v>18</v>
      </c>
      <c r="D283" t="s">
        <v>17</v>
      </c>
      <c r="E283" t="s">
        <v>17</v>
      </c>
      <c r="F283" s="23">
        <v>5</v>
      </c>
      <c r="G283" s="19" t="s">
        <v>11</v>
      </c>
      <c r="H283" s="34">
        <f>INDEX(U:U, MATCH(G283, T:T, 0))*F283</f>
        <v>1.25</v>
      </c>
      <c r="I283" s="34">
        <f t="shared" si="8"/>
        <v>0</v>
      </c>
      <c r="J283" s="34">
        <f t="shared" si="9"/>
        <v>0</v>
      </c>
    </row>
    <row r="284" spans="1:11" ht="18" customHeight="1" x14ac:dyDescent="0.35">
      <c r="A284" s="9">
        <v>572</v>
      </c>
      <c r="B284" t="s">
        <v>17</v>
      </c>
      <c r="C284" t="s">
        <v>18</v>
      </c>
      <c r="D284" t="s">
        <v>17</v>
      </c>
      <c r="E284" t="s">
        <v>17</v>
      </c>
      <c r="F284" s="23">
        <v>5</v>
      </c>
      <c r="G284" s="19" t="s">
        <v>11</v>
      </c>
      <c r="H284" s="34">
        <f>INDEX(U:U, MATCH(G284, T:T, 0))*F284</f>
        <v>1.25</v>
      </c>
      <c r="I284" s="34">
        <f t="shared" si="8"/>
        <v>0</v>
      </c>
      <c r="J284" s="34">
        <f t="shared" si="9"/>
        <v>0</v>
      </c>
      <c r="K284" s="41" t="s">
        <v>94</v>
      </c>
    </row>
    <row r="285" spans="1:11" ht="18" customHeight="1" x14ac:dyDescent="0.35">
      <c r="A285" s="9">
        <v>574</v>
      </c>
      <c r="B285" t="s">
        <v>18</v>
      </c>
      <c r="C285" t="s">
        <v>17</v>
      </c>
      <c r="D285" t="s">
        <v>17</v>
      </c>
      <c r="E285" t="s">
        <v>17</v>
      </c>
      <c r="F285" s="23">
        <v>5</v>
      </c>
      <c r="G285" s="19" t="s">
        <v>11</v>
      </c>
      <c r="H285" s="34">
        <f>INDEX(U:U, MATCH(G285, T:T, 0))*F285</f>
        <v>1.25</v>
      </c>
      <c r="I285" s="34">
        <f t="shared" si="8"/>
        <v>0</v>
      </c>
      <c r="J285" s="34">
        <f t="shared" si="9"/>
        <v>0</v>
      </c>
    </row>
    <row r="286" spans="1:11" ht="18" customHeight="1" x14ac:dyDescent="0.35">
      <c r="A286" s="9">
        <v>596</v>
      </c>
      <c r="B286" t="s">
        <v>18</v>
      </c>
      <c r="C286" t="s">
        <v>17</v>
      </c>
      <c r="D286" t="s">
        <v>17</v>
      </c>
      <c r="E286" t="s">
        <v>17</v>
      </c>
      <c r="F286" s="23">
        <v>5</v>
      </c>
      <c r="G286" s="19" t="s">
        <v>11</v>
      </c>
      <c r="H286" s="34">
        <f>INDEX(U:U, MATCH(G286, T:T, 0))*F286</f>
        <v>1.25</v>
      </c>
      <c r="I286" s="34">
        <f t="shared" si="8"/>
        <v>0</v>
      </c>
      <c r="J286" s="34">
        <f t="shared" si="9"/>
        <v>0</v>
      </c>
    </row>
    <row r="287" spans="1:11" ht="18" customHeight="1" x14ac:dyDescent="0.35">
      <c r="A287" s="9">
        <v>606</v>
      </c>
      <c r="B287" t="s">
        <v>17</v>
      </c>
      <c r="C287" t="s">
        <v>18</v>
      </c>
      <c r="D287" t="s">
        <v>18</v>
      </c>
      <c r="E287" t="s">
        <v>17</v>
      </c>
      <c r="F287" s="23">
        <v>10</v>
      </c>
      <c r="G287" s="19" t="s">
        <v>11</v>
      </c>
      <c r="H287" s="34">
        <f>INDEX(U:U, MATCH(G287, T:T, 0))*F287</f>
        <v>2.5</v>
      </c>
      <c r="I287" s="34">
        <f t="shared" si="8"/>
        <v>0</v>
      </c>
      <c r="J287" s="34">
        <f t="shared" si="9"/>
        <v>0</v>
      </c>
    </row>
    <row r="288" spans="1:11" ht="18" customHeight="1" x14ac:dyDescent="0.35">
      <c r="A288" s="9">
        <v>608</v>
      </c>
      <c r="B288" t="s">
        <v>18</v>
      </c>
      <c r="C288" t="s">
        <v>17</v>
      </c>
      <c r="D288" t="s">
        <v>17</v>
      </c>
      <c r="E288" t="s">
        <v>17</v>
      </c>
      <c r="F288" s="23">
        <v>5</v>
      </c>
      <c r="G288" s="19" t="s">
        <v>11</v>
      </c>
      <c r="H288" s="34">
        <f>INDEX(U:U, MATCH(G288, T:T, 0))*F288</f>
        <v>1.25</v>
      </c>
      <c r="I288" s="34">
        <f t="shared" si="8"/>
        <v>0</v>
      </c>
      <c r="J288" s="34">
        <f t="shared" si="9"/>
        <v>0</v>
      </c>
    </row>
    <row r="289" spans="1:16" ht="18" customHeight="1" x14ac:dyDescent="0.35">
      <c r="A289" s="9">
        <v>627</v>
      </c>
      <c r="B289" t="s">
        <v>17</v>
      </c>
      <c r="C289" t="s">
        <v>18</v>
      </c>
      <c r="D289" t="s">
        <v>17</v>
      </c>
      <c r="E289" t="s">
        <v>17</v>
      </c>
      <c r="F289" s="23">
        <v>5</v>
      </c>
      <c r="G289" s="19" t="s">
        <v>11</v>
      </c>
      <c r="H289" s="34">
        <f>INDEX(U:U, MATCH(G289, T:T, 0))*F289</f>
        <v>1.25</v>
      </c>
      <c r="I289" s="34">
        <f t="shared" si="8"/>
        <v>0</v>
      </c>
      <c r="J289" s="34">
        <f t="shared" si="9"/>
        <v>0</v>
      </c>
    </row>
    <row r="290" spans="1:16" ht="18" customHeight="1" x14ac:dyDescent="0.35">
      <c r="A290" s="9">
        <v>664</v>
      </c>
      <c r="B290" t="s">
        <v>17</v>
      </c>
      <c r="C290" t="s">
        <v>17</v>
      </c>
      <c r="D290" t="s">
        <v>17</v>
      </c>
      <c r="E290" t="s">
        <v>17</v>
      </c>
      <c r="F290" s="23">
        <v>5</v>
      </c>
      <c r="G290" s="19" t="s">
        <v>11</v>
      </c>
      <c r="H290" s="34">
        <f>INDEX(U:U, MATCH(G290, T:T, 0))*F290</f>
        <v>1.25</v>
      </c>
      <c r="I290" s="34">
        <f t="shared" si="8"/>
        <v>0</v>
      </c>
      <c r="J290" s="34">
        <f t="shared" si="9"/>
        <v>0</v>
      </c>
    </row>
    <row r="291" spans="1:16" ht="18" customHeight="1" x14ac:dyDescent="0.35">
      <c r="A291" s="9">
        <v>696</v>
      </c>
      <c r="B291" t="s">
        <v>17</v>
      </c>
      <c r="C291" t="s">
        <v>18</v>
      </c>
      <c r="D291" t="s">
        <v>17</v>
      </c>
      <c r="E291" t="s">
        <v>17</v>
      </c>
      <c r="F291" s="23">
        <v>5</v>
      </c>
      <c r="G291" s="19" t="s">
        <v>11</v>
      </c>
      <c r="H291" s="34">
        <f>INDEX(U:U, MATCH(G291, T:T, 0))*F291</f>
        <v>1.25</v>
      </c>
      <c r="I291" s="34">
        <f t="shared" si="8"/>
        <v>0</v>
      </c>
      <c r="J291" s="34">
        <f t="shared" si="9"/>
        <v>0</v>
      </c>
    </row>
    <row r="292" spans="1:16" ht="18" customHeight="1" x14ac:dyDescent="0.35">
      <c r="A292" s="9">
        <v>698</v>
      </c>
      <c r="B292" t="s">
        <v>18</v>
      </c>
      <c r="C292" t="s">
        <v>17</v>
      </c>
      <c r="D292" t="s">
        <v>17</v>
      </c>
      <c r="E292" t="s">
        <v>17</v>
      </c>
      <c r="F292" s="23">
        <v>5</v>
      </c>
      <c r="G292" s="19" t="s">
        <v>11</v>
      </c>
      <c r="H292" s="34">
        <f>INDEX(U:U, MATCH(G292, T:T, 0))*F292</f>
        <v>1.25</v>
      </c>
      <c r="I292" s="34">
        <f t="shared" si="8"/>
        <v>0</v>
      </c>
      <c r="J292" s="34">
        <f t="shared" si="9"/>
        <v>0</v>
      </c>
    </row>
    <row r="293" spans="1:16" ht="18" customHeight="1" x14ac:dyDescent="0.35">
      <c r="A293" s="9">
        <v>702</v>
      </c>
      <c r="B293" t="s">
        <v>18</v>
      </c>
      <c r="C293" t="s">
        <v>17</v>
      </c>
      <c r="D293" t="s">
        <v>17</v>
      </c>
      <c r="E293" t="s">
        <v>17</v>
      </c>
      <c r="F293" s="23">
        <v>5</v>
      </c>
      <c r="G293" s="19" t="s">
        <v>11</v>
      </c>
      <c r="H293" s="34">
        <f>INDEX(U:U, MATCH(G293, T:T, 0))*F293</f>
        <v>1.25</v>
      </c>
      <c r="I293" s="34">
        <f t="shared" si="8"/>
        <v>0</v>
      </c>
      <c r="J293" s="34">
        <f t="shared" si="9"/>
        <v>0</v>
      </c>
    </row>
    <row r="294" spans="1:16" ht="18" customHeight="1" x14ac:dyDescent="0.35">
      <c r="A294" s="9">
        <v>718</v>
      </c>
      <c r="B294" t="s">
        <v>18</v>
      </c>
      <c r="C294" t="s">
        <v>17</v>
      </c>
      <c r="D294" t="s">
        <v>17</v>
      </c>
      <c r="E294" t="s">
        <v>17</v>
      </c>
      <c r="F294" s="23">
        <v>1</v>
      </c>
      <c r="G294" s="19" t="s">
        <v>11</v>
      </c>
      <c r="H294" s="34">
        <f>INDEX(U:U, MATCH(G294, T:T, 0))*F294</f>
        <v>0.25</v>
      </c>
      <c r="I294" s="34">
        <f t="shared" si="8"/>
        <v>0</v>
      </c>
      <c r="J294" s="34">
        <f t="shared" si="9"/>
        <v>0</v>
      </c>
    </row>
    <row r="295" spans="1:16" ht="18" customHeight="1" x14ac:dyDescent="0.35">
      <c r="A295" s="9">
        <v>723</v>
      </c>
      <c r="B295" t="s">
        <v>17</v>
      </c>
      <c r="C295" t="s">
        <v>18</v>
      </c>
      <c r="D295" t="s">
        <v>17</v>
      </c>
      <c r="E295" t="s">
        <v>17</v>
      </c>
      <c r="F295" s="23">
        <v>10</v>
      </c>
      <c r="G295" s="19" t="s">
        <v>11</v>
      </c>
      <c r="H295" s="34">
        <f>INDEX(U:U, MATCH(G295, T:T, 0))*F295</f>
        <v>2.5</v>
      </c>
      <c r="I295" s="34">
        <f t="shared" si="8"/>
        <v>0</v>
      </c>
      <c r="J295" s="34">
        <f t="shared" si="9"/>
        <v>0</v>
      </c>
    </row>
    <row r="296" spans="1:16" ht="18" customHeight="1" x14ac:dyDescent="0.35">
      <c r="A296" s="9">
        <v>724</v>
      </c>
      <c r="B296" t="s">
        <v>18</v>
      </c>
      <c r="C296" t="s">
        <v>17</v>
      </c>
      <c r="D296" t="s">
        <v>17</v>
      </c>
      <c r="E296" t="s">
        <v>17</v>
      </c>
      <c r="F296" s="23">
        <v>5</v>
      </c>
      <c r="G296" s="19" t="s">
        <v>11</v>
      </c>
      <c r="H296" s="34">
        <f>INDEX(U:U, MATCH(G296, T:T, 0))*F296</f>
        <v>1.25</v>
      </c>
      <c r="I296" s="34">
        <f t="shared" si="8"/>
        <v>0</v>
      </c>
      <c r="J296" s="34">
        <f t="shared" si="9"/>
        <v>0</v>
      </c>
    </row>
    <row r="297" spans="1:16" ht="18" customHeight="1" x14ac:dyDescent="0.35">
      <c r="A297" s="9">
        <v>743</v>
      </c>
      <c r="B297" t="s">
        <v>18</v>
      </c>
      <c r="C297" t="s">
        <v>17</v>
      </c>
      <c r="D297" t="s">
        <v>17</v>
      </c>
      <c r="E297" t="s">
        <v>17</v>
      </c>
      <c r="F297" s="23">
        <v>1</v>
      </c>
      <c r="G297" s="19" t="s">
        <v>11</v>
      </c>
      <c r="H297" s="34">
        <f>INDEX(U:U, MATCH(G297, T:T, 0))*F297</f>
        <v>0.25</v>
      </c>
      <c r="I297" s="34">
        <f t="shared" si="8"/>
        <v>0</v>
      </c>
      <c r="J297" s="34">
        <f t="shared" si="9"/>
        <v>0</v>
      </c>
    </row>
    <row r="298" spans="1:16" ht="18" customHeight="1" x14ac:dyDescent="0.35">
      <c r="A298" s="9">
        <v>22</v>
      </c>
      <c r="B298" t="s">
        <v>18</v>
      </c>
      <c r="C298" t="s">
        <v>18</v>
      </c>
      <c r="D298" t="s">
        <v>17</v>
      </c>
      <c r="E298" t="s">
        <v>19</v>
      </c>
      <c r="F298" s="23">
        <v>80</v>
      </c>
      <c r="G298" s="19" t="s">
        <v>13</v>
      </c>
      <c r="H298" s="34">
        <f>INDEX(U:U, MATCH(G298, T:T, 0))*F298</f>
        <v>70</v>
      </c>
      <c r="I298" s="34">
        <f t="shared" si="8"/>
        <v>1</v>
      </c>
      <c r="J298" s="34">
        <f t="shared" si="9"/>
        <v>1</v>
      </c>
      <c r="K298" s="41" t="s">
        <v>89</v>
      </c>
      <c r="L298" s="9" t="s">
        <v>119</v>
      </c>
      <c r="N298" s="1" t="s">
        <v>14</v>
      </c>
      <c r="O298" s="1">
        <f>INDEX(W:W, MATCH(N298, V:V, 0))*F298</f>
        <v>48</v>
      </c>
      <c r="P298" s="19">
        <f>H298-O298</f>
        <v>22</v>
      </c>
    </row>
    <row r="299" spans="1:16" ht="18" customHeight="1" x14ac:dyDescent="0.35">
      <c r="A299" s="9">
        <v>30</v>
      </c>
      <c r="B299" t="s">
        <v>17</v>
      </c>
      <c r="C299" t="s">
        <v>18</v>
      </c>
      <c r="D299" t="s">
        <v>17</v>
      </c>
      <c r="E299" t="s">
        <v>20</v>
      </c>
      <c r="F299" s="23">
        <v>20</v>
      </c>
      <c r="G299" s="19" t="s">
        <v>13</v>
      </c>
      <c r="H299" s="34">
        <f>INDEX(U:U, MATCH(G299, T:T, 0))*F299</f>
        <v>17.5</v>
      </c>
      <c r="I299" s="34">
        <f t="shared" si="8"/>
        <v>1</v>
      </c>
      <c r="J299" s="34">
        <f t="shared" si="9"/>
        <v>1</v>
      </c>
    </row>
    <row r="300" spans="1:16" ht="18" customHeight="1" x14ac:dyDescent="0.35">
      <c r="A300" s="9">
        <v>44</v>
      </c>
      <c r="B300" t="s">
        <v>17</v>
      </c>
      <c r="C300" t="s">
        <v>18</v>
      </c>
      <c r="D300" t="s">
        <v>17</v>
      </c>
      <c r="E300" t="s">
        <v>20</v>
      </c>
      <c r="F300" s="23">
        <v>30</v>
      </c>
      <c r="G300" s="19" t="s">
        <v>13</v>
      </c>
      <c r="H300" s="34">
        <f>INDEX(U:U, MATCH(G300, T:T, 0))*F300</f>
        <v>26.25</v>
      </c>
      <c r="I300" s="34">
        <f t="shared" si="8"/>
        <v>1</v>
      </c>
      <c r="J300" s="34">
        <f t="shared" si="9"/>
        <v>1</v>
      </c>
    </row>
    <row r="301" spans="1:16" ht="18" customHeight="1" x14ac:dyDescent="0.35">
      <c r="A301" s="9">
        <v>70</v>
      </c>
      <c r="B301" t="s">
        <v>17</v>
      </c>
      <c r="C301" t="s">
        <v>18</v>
      </c>
      <c r="D301" t="s">
        <v>18</v>
      </c>
      <c r="E301" t="s">
        <v>20</v>
      </c>
      <c r="F301" s="23">
        <v>80</v>
      </c>
      <c r="G301" s="19" t="s">
        <v>13</v>
      </c>
      <c r="H301" s="34">
        <f>INDEX(U:U, MATCH(G301, T:T, 0))*F301</f>
        <v>70</v>
      </c>
      <c r="I301" s="34">
        <f t="shared" si="8"/>
        <v>1</v>
      </c>
      <c r="J301" s="34">
        <f t="shared" si="9"/>
        <v>1</v>
      </c>
      <c r="K301" s="41" t="s">
        <v>53</v>
      </c>
    </row>
    <row r="302" spans="1:16" ht="18" customHeight="1" x14ac:dyDescent="0.35">
      <c r="A302" s="9">
        <v>83</v>
      </c>
      <c r="B302" t="s">
        <v>17</v>
      </c>
      <c r="C302" t="s">
        <v>18</v>
      </c>
      <c r="D302" t="s">
        <v>17</v>
      </c>
      <c r="E302" t="s">
        <v>21</v>
      </c>
      <c r="F302" s="23">
        <v>15</v>
      </c>
      <c r="G302" s="19" t="s">
        <v>13</v>
      </c>
      <c r="H302" s="34">
        <f>INDEX(U:U, MATCH(G302, T:T, 0))*F302</f>
        <v>13.125</v>
      </c>
      <c r="I302" s="34">
        <f t="shared" si="8"/>
        <v>1</v>
      </c>
      <c r="J302" s="34">
        <f t="shared" si="9"/>
        <v>1</v>
      </c>
    </row>
    <row r="303" spans="1:16" ht="18" customHeight="1" x14ac:dyDescent="0.35">
      <c r="A303" s="9">
        <v>116</v>
      </c>
      <c r="B303" t="s">
        <v>17</v>
      </c>
      <c r="C303" t="s">
        <v>18</v>
      </c>
      <c r="D303" t="s">
        <v>17</v>
      </c>
      <c r="E303" t="s">
        <v>20</v>
      </c>
      <c r="F303" s="23">
        <v>60</v>
      </c>
      <c r="G303" s="19" t="s">
        <v>13</v>
      </c>
      <c r="H303" s="34">
        <f>INDEX(U:U, MATCH(G303, T:T, 0))*F303</f>
        <v>52.5</v>
      </c>
      <c r="I303" s="34">
        <f t="shared" si="8"/>
        <v>1</v>
      </c>
      <c r="J303" s="34">
        <f t="shared" si="9"/>
        <v>1</v>
      </c>
      <c r="K303" s="41" t="s">
        <v>64</v>
      </c>
    </row>
    <row r="304" spans="1:16" ht="18" customHeight="1" x14ac:dyDescent="0.35">
      <c r="A304" s="9">
        <v>117</v>
      </c>
      <c r="B304" t="s">
        <v>17</v>
      </c>
      <c r="C304" t="s">
        <v>18</v>
      </c>
      <c r="D304" t="s">
        <v>17</v>
      </c>
      <c r="E304" t="s">
        <v>20</v>
      </c>
      <c r="F304" s="23">
        <v>50</v>
      </c>
      <c r="G304" s="19" t="s">
        <v>13</v>
      </c>
      <c r="H304" s="34">
        <f>INDEX(U:U, MATCH(G304, T:T, 0))*F304</f>
        <v>43.75</v>
      </c>
      <c r="I304" s="34">
        <f t="shared" si="8"/>
        <v>1</v>
      </c>
      <c r="J304" s="34">
        <f t="shared" si="9"/>
        <v>1</v>
      </c>
    </row>
    <row r="305" spans="1:17" ht="18" customHeight="1" x14ac:dyDescent="0.35">
      <c r="A305" s="9">
        <v>124</v>
      </c>
      <c r="B305" t="s">
        <v>17</v>
      </c>
      <c r="C305" t="s">
        <v>18</v>
      </c>
      <c r="D305" t="s">
        <v>17</v>
      </c>
      <c r="E305" t="s">
        <v>20</v>
      </c>
      <c r="F305" s="23">
        <v>60</v>
      </c>
      <c r="G305" s="19" t="s">
        <v>13</v>
      </c>
      <c r="H305" s="34">
        <f>INDEX(U:U, MATCH(G305, T:T, 0))*F305</f>
        <v>52.5</v>
      </c>
      <c r="I305" s="34">
        <f t="shared" si="8"/>
        <v>1</v>
      </c>
      <c r="J305" s="34">
        <f t="shared" si="9"/>
        <v>1</v>
      </c>
    </row>
    <row r="306" spans="1:17" ht="18" customHeight="1" x14ac:dyDescent="0.35">
      <c r="A306" s="9">
        <v>159</v>
      </c>
      <c r="B306" t="s">
        <v>17</v>
      </c>
      <c r="C306" t="s">
        <v>18</v>
      </c>
      <c r="D306" t="s">
        <v>17</v>
      </c>
      <c r="E306" t="s">
        <v>21</v>
      </c>
      <c r="F306" s="23">
        <v>15</v>
      </c>
      <c r="G306" s="19" t="s">
        <v>13</v>
      </c>
      <c r="H306" s="34">
        <f>INDEX(U:U, MATCH(G306, T:T, 0))*F306</f>
        <v>13.125</v>
      </c>
      <c r="I306" s="34">
        <f t="shared" si="8"/>
        <v>1</v>
      </c>
      <c r="J306" s="34">
        <f t="shared" si="9"/>
        <v>1</v>
      </c>
    </row>
    <row r="307" spans="1:17" ht="18" customHeight="1" x14ac:dyDescent="0.35">
      <c r="A307" s="9">
        <v>171</v>
      </c>
      <c r="B307" t="s">
        <v>17</v>
      </c>
      <c r="C307" t="s">
        <v>18</v>
      </c>
      <c r="D307" t="s">
        <v>17</v>
      </c>
      <c r="E307" t="s">
        <v>20</v>
      </c>
      <c r="F307" s="23">
        <v>10</v>
      </c>
      <c r="G307" s="19" t="s">
        <v>13</v>
      </c>
      <c r="H307" s="34">
        <f>INDEX(U:U, MATCH(G307, T:T, 0))*F307</f>
        <v>8.75</v>
      </c>
      <c r="I307" s="34">
        <f t="shared" si="8"/>
        <v>1</v>
      </c>
      <c r="J307" s="34">
        <f t="shared" si="9"/>
        <v>1</v>
      </c>
    </row>
    <row r="308" spans="1:17" ht="18" customHeight="1" x14ac:dyDescent="0.35">
      <c r="A308" s="9">
        <v>177</v>
      </c>
      <c r="B308" t="s">
        <v>18</v>
      </c>
      <c r="C308" t="s">
        <v>18</v>
      </c>
      <c r="D308" t="s">
        <v>18</v>
      </c>
      <c r="E308" t="s">
        <v>19</v>
      </c>
      <c r="F308" s="23">
        <v>10</v>
      </c>
      <c r="G308" s="19" t="s">
        <v>13</v>
      </c>
      <c r="H308" s="34">
        <f>INDEX(U:U, MATCH(G308, T:T, 0))*F308</f>
        <v>8.75</v>
      </c>
      <c r="I308" s="34">
        <f t="shared" si="8"/>
        <v>1</v>
      </c>
      <c r="J308" s="34">
        <f t="shared" si="9"/>
        <v>1</v>
      </c>
      <c r="K308" s="41" t="s">
        <v>74</v>
      </c>
    </row>
    <row r="309" spans="1:17" ht="18" customHeight="1" x14ac:dyDescent="0.35">
      <c r="A309" s="9">
        <v>248</v>
      </c>
      <c r="B309" t="s">
        <v>17</v>
      </c>
      <c r="C309" t="s">
        <v>18</v>
      </c>
      <c r="D309" t="s">
        <v>17</v>
      </c>
      <c r="E309" t="s">
        <v>20</v>
      </c>
      <c r="F309" s="23">
        <v>5</v>
      </c>
      <c r="G309" s="19" t="s">
        <v>13</v>
      </c>
      <c r="H309" s="34">
        <f>INDEX(U:U, MATCH(G309, T:T, 0))*F309</f>
        <v>4.375</v>
      </c>
      <c r="I309" s="34">
        <f t="shared" si="8"/>
        <v>1</v>
      </c>
      <c r="J309" s="34">
        <f t="shared" si="9"/>
        <v>1</v>
      </c>
      <c r="K309" s="41" t="s">
        <v>49</v>
      </c>
      <c r="L309" s="9" t="s">
        <v>107</v>
      </c>
      <c r="M309" s="1">
        <v>5</v>
      </c>
      <c r="N309" s="1" t="s">
        <v>108</v>
      </c>
      <c r="O309" s="1">
        <f>INDEX(W:W, MATCH(N309, V:V, 0))*M309</f>
        <v>3.75</v>
      </c>
      <c r="P309" s="19">
        <f>H309-O309</f>
        <v>0.625</v>
      </c>
      <c r="Q309" s="19">
        <f>M309-F309</f>
        <v>0</v>
      </c>
    </row>
    <row r="310" spans="1:17" ht="18" customHeight="1" x14ac:dyDescent="0.35">
      <c r="A310" s="9">
        <v>267</v>
      </c>
      <c r="B310" t="s">
        <v>17</v>
      </c>
      <c r="C310" t="s">
        <v>18</v>
      </c>
      <c r="D310" t="s">
        <v>17</v>
      </c>
      <c r="E310" t="s">
        <v>21</v>
      </c>
      <c r="F310" s="23">
        <v>20</v>
      </c>
      <c r="G310" s="19" t="s">
        <v>13</v>
      </c>
      <c r="H310" s="34">
        <f>INDEX(U:U, MATCH(G310, T:T, 0))*F310</f>
        <v>17.5</v>
      </c>
      <c r="I310" s="34">
        <f t="shared" si="8"/>
        <v>1</v>
      </c>
      <c r="J310" s="34">
        <f t="shared" si="9"/>
        <v>1</v>
      </c>
      <c r="K310" s="41" t="s">
        <v>30</v>
      </c>
      <c r="L310" s="9" t="s">
        <v>105</v>
      </c>
      <c r="N310" s="1" t="s">
        <v>13</v>
      </c>
      <c r="O310" s="1">
        <f>INDEX(W:W, MATCH(N310, V:V, 0))*M310</f>
        <v>0</v>
      </c>
      <c r="P310" s="19">
        <f>H310-O310</f>
        <v>17.5</v>
      </c>
    </row>
    <row r="311" spans="1:17" ht="18" customHeight="1" x14ac:dyDescent="0.35">
      <c r="A311" s="9">
        <v>269</v>
      </c>
      <c r="B311" t="s">
        <v>17</v>
      </c>
      <c r="C311" t="s">
        <v>18</v>
      </c>
      <c r="D311" t="s">
        <v>17</v>
      </c>
      <c r="E311" t="s">
        <v>20</v>
      </c>
      <c r="F311" s="23">
        <v>20</v>
      </c>
      <c r="G311" s="19" t="s">
        <v>13</v>
      </c>
      <c r="H311" s="34">
        <f>INDEX(U:U, MATCH(G311, T:T, 0))*F311</f>
        <v>17.5</v>
      </c>
      <c r="I311" s="34">
        <f t="shared" si="8"/>
        <v>1</v>
      </c>
      <c r="J311" s="34">
        <f t="shared" si="9"/>
        <v>1</v>
      </c>
    </row>
    <row r="312" spans="1:17" ht="18" customHeight="1" x14ac:dyDescent="0.35">
      <c r="A312" s="9">
        <v>273</v>
      </c>
      <c r="B312" t="s">
        <v>18</v>
      </c>
      <c r="C312" t="s">
        <v>18</v>
      </c>
      <c r="D312" t="s">
        <v>18</v>
      </c>
      <c r="E312" t="s">
        <v>20</v>
      </c>
      <c r="F312" s="23">
        <v>20</v>
      </c>
      <c r="G312" s="19" t="s">
        <v>13</v>
      </c>
      <c r="H312" s="34">
        <f>INDEX(U:U, MATCH(G312, T:T, 0))*F312</f>
        <v>17.5</v>
      </c>
      <c r="I312" s="34">
        <f t="shared" si="8"/>
        <v>1</v>
      </c>
      <c r="J312" s="34">
        <f t="shared" si="9"/>
        <v>1</v>
      </c>
    </row>
    <row r="313" spans="1:17" ht="18" customHeight="1" x14ac:dyDescent="0.35">
      <c r="A313" s="9">
        <v>274</v>
      </c>
      <c r="B313" t="s">
        <v>18</v>
      </c>
      <c r="C313" t="s">
        <v>18</v>
      </c>
      <c r="D313" t="s">
        <v>17</v>
      </c>
      <c r="E313" t="s">
        <v>20</v>
      </c>
      <c r="F313" s="23">
        <v>15</v>
      </c>
      <c r="G313" s="19" t="s">
        <v>13</v>
      </c>
      <c r="H313" s="34">
        <f>INDEX(U:U, MATCH(G313, T:T, 0))*F313</f>
        <v>13.125</v>
      </c>
      <c r="I313" s="34">
        <f t="shared" si="8"/>
        <v>1</v>
      </c>
      <c r="J313" s="34">
        <f t="shared" si="9"/>
        <v>1</v>
      </c>
      <c r="K313" s="41" t="s">
        <v>42</v>
      </c>
    </row>
    <row r="314" spans="1:17" ht="18" customHeight="1" x14ac:dyDescent="0.35">
      <c r="A314" s="9">
        <v>306</v>
      </c>
      <c r="B314" t="s">
        <v>18</v>
      </c>
      <c r="C314" t="s">
        <v>18</v>
      </c>
      <c r="D314" t="s">
        <v>17</v>
      </c>
      <c r="E314" t="s">
        <v>21</v>
      </c>
      <c r="F314" s="23">
        <v>10</v>
      </c>
      <c r="G314" s="19" t="s">
        <v>13</v>
      </c>
      <c r="H314" s="34">
        <f>INDEX(U:U, MATCH(G314, T:T, 0))*F314</f>
        <v>8.75</v>
      </c>
      <c r="I314" s="34">
        <f t="shared" si="8"/>
        <v>1</v>
      </c>
      <c r="J314" s="34">
        <f t="shared" si="9"/>
        <v>1</v>
      </c>
    </row>
    <row r="315" spans="1:17" ht="18" customHeight="1" x14ac:dyDescent="0.35">
      <c r="A315" s="9">
        <v>341</v>
      </c>
      <c r="B315" t="s">
        <v>17</v>
      </c>
      <c r="C315" t="s">
        <v>18</v>
      </c>
      <c r="D315" t="s">
        <v>17</v>
      </c>
      <c r="E315" t="s">
        <v>20</v>
      </c>
      <c r="F315" s="23">
        <v>25</v>
      </c>
      <c r="G315" s="19" t="s">
        <v>13</v>
      </c>
      <c r="H315" s="34">
        <f>INDEX(U:U, MATCH(G315, T:T, 0))*F315</f>
        <v>21.875</v>
      </c>
      <c r="I315" s="34">
        <f t="shared" si="8"/>
        <v>1</v>
      </c>
      <c r="J315" s="34">
        <f t="shared" si="9"/>
        <v>1</v>
      </c>
      <c r="K315" s="41" t="s">
        <v>93</v>
      </c>
      <c r="L315" s="9" t="s">
        <v>105</v>
      </c>
    </row>
    <row r="316" spans="1:17" ht="18" customHeight="1" x14ac:dyDescent="0.35">
      <c r="A316" s="9">
        <v>344</v>
      </c>
      <c r="B316" t="s">
        <v>17</v>
      </c>
      <c r="C316" t="s">
        <v>18</v>
      </c>
      <c r="D316" t="s">
        <v>17</v>
      </c>
      <c r="E316" t="s">
        <v>20</v>
      </c>
      <c r="F316" s="23">
        <v>15</v>
      </c>
      <c r="G316" s="19" t="s">
        <v>13</v>
      </c>
      <c r="H316" s="34">
        <f>INDEX(U:U, MATCH(G316, T:T, 0))*F316</f>
        <v>13.125</v>
      </c>
      <c r="I316" s="34">
        <f t="shared" si="8"/>
        <v>1</v>
      </c>
      <c r="J316" s="34">
        <f t="shared" si="9"/>
        <v>1</v>
      </c>
    </row>
    <row r="317" spans="1:17" ht="18" customHeight="1" x14ac:dyDescent="0.35">
      <c r="A317" s="9">
        <v>349</v>
      </c>
      <c r="B317" t="s">
        <v>17</v>
      </c>
      <c r="C317" t="s">
        <v>18</v>
      </c>
      <c r="D317" t="s">
        <v>17</v>
      </c>
      <c r="E317" t="s">
        <v>19</v>
      </c>
      <c r="F317" s="23">
        <v>10</v>
      </c>
      <c r="G317" s="19" t="s">
        <v>13</v>
      </c>
      <c r="H317" s="34">
        <f>INDEX(U:U, MATCH(G317, T:T, 0))*F317</f>
        <v>8.75</v>
      </c>
      <c r="I317" s="34">
        <f t="shared" si="8"/>
        <v>1</v>
      </c>
      <c r="J317" s="34">
        <f t="shared" si="9"/>
        <v>1</v>
      </c>
    </row>
    <row r="318" spans="1:17" ht="18" customHeight="1" x14ac:dyDescent="0.35">
      <c r="A318" s="9">
        <v>367</v>
      </c>
      <c r="B318" t="s">
        <v>17</v>
      </c>
      <c r="C318" t="s">
        <v>17</v>
      </c>
      <c r="D318" t="s">
        <v>17</v>
      </c>
      <c r="E318" t="s">
        <v>19</v>
      </c>
      <c r="F318" s="23">
        <v>1</v>
      </c>
      <c r="G318" s="19" t="s">
        <v>13</v>
      </c>
      <c r="H318" s="34">
        <f>INDEX(U:U, MATCH(G318, T:T, 0))*F318</f>
        <v>0.875</v>
      </c>
      <c r="I318" s="34">
        <f t="shared" si="8"/>
        <v>1</v>
      </c>
      <c r="J318" s="34">
        <f t="shared" si="9"/>
        <v>1</v>
      </c>
      <c r="K318" s="41" t="s">
        <v>39</v>
      </c>
    </row>
    <row r="319" spans="1:17" ht="18" customHeight="1" x14ac:dyDescent="0.35">
      <c r="A319" s="9">
        <v>377</v>
      </c>
      <c r="B319" t="s">
        <v>17</v>
      </c>
      <c r="C319" t="s">
        <v>18</v>
      </c>
      <c r="D319" t="s">
        <v>18</v>
      </c>
      <c r="E319" t="s">
        <v>20</v>
      </c>
      <c r="F319" s="23">
        <v>20</v>
      </c>
      <c r="G319" s="19" t="s">
        <v>13</v>
      </c>
      <c r="H319" s="34">
        <f>INDEX(U:U, MATCH(G319, T:T, 0))*F319</f>
        <v>17.5</v>
      </c>
      <c r="I319" s="34">
        <f t="shared" si="8"/>
        <v>1</v>
      </c>
      <c r="J319" s="34">
        <f t="shared" si="9"/>
        <v>1</v>
      </c>
    </row>
    <row r="320" spans="1:17" ht="18" customHeight="1" x14ac:dyDescent="0.35">
      <c r="A320" s="9">
        <v>382</v>
      </c>
      <c r="B320" t="s">
        <v>17</v>
      </c>
      <c r="C320" t="s">
        <v>18</v>
      </c>
      <c r="D320" t="s">
        <v>17</v>
      </c>
      <c r="E320" t="s">
        <v>21</v>
      </c>
      <c r="F320" s="23">
        <v>40</v>
      </c>
      <c r="G320" s="19" t="s">
        <v>13</v>
      </c>
      <c r="H320" s="34">
        <f>INDEX(U:U, MATCH(G320, T:T, 0))*F320</f>
        <v>35</v>
      </c>
      <c r="I320" s="34">
        <f t="shared" si="8"/>
        <v>1</v>
      </c>
      <c r="J320" s="34">
        <f t="shared" si="9"/>
        <v>1</v>
      </c>
    </row>
    <row r="321" spans="1:18" ht="18" customHeight="1" x14ac:dyDescent="0.35">
      <c r="A321" s="9">
        <v>398</v>
      </c>
      <c r="B321" t="s">
        <v>17</v>
      </c>
      <c r="C321" t="s">
        <v>18</v>
      </c>
      <c r="D321" t="s">
        <v>17</v>
      </c>
      <c r="E321" t="s">
        <v>20</v>
      </c>
      <c r="F321" s="23">
        <v>10</v>
      </c>
      <c r="G321" s="19" t="s">
        <v>13</v>
      </c>
      <c r="H321" s="34">
        <f>INDEX(U:U, MATCH(G321, T:T, 0))*F321</f>
        <v>8.75</v>
      </c>
      <c r="I321" s="34">
        <f t="shared" si="8"/>
        <v>1</v>
      </c>
      <c r="J321" s="34">
        <f t="shared" si="9"/>
        <v>1</v>
      </c>
      <c r="K321" s="41" t="s">
        <v>71</v>
      </c>
    </row>
    <row r="322" spans="1:18" ht="18" customHeight="1" x14ac:dyDescent="0.35">
      <c r="A322" s="9">
        <v>401</v>
      </c>
      <c r="B322" t="s">
        <v>17</v>
      </c>
      <c r="C322" t="s">
        <v>18</v>
      </c>
      <c r="D322" t="s">
        <v>18</v>
      </c>
      <c r="E322" t="s">
        <v>20</v>
      </c>
      <c r="F322" s="23">
        <v>10</v>
      </c>
      <c r="G322" s="19" t="s">
        <v>13</v>
      </c>
      <c r="H322" s="34">
        <f>INDEX(U:U, MATCH(G322, T:T, 0))*F322</f>
        <v>8.75</v>
      </c>
      <c r="I322" s="34">
        <f t="shared" ref="I322:I331" si="10">IF(COUNTIF($T$3:$T$6, G322) &gt; 0, 0, 1)</f>
        <v>1</v>
      </c>
      <c r="J322" s="34">
        <f t="shared" ref="J322:J331" si="11">IF(COUNTIF(T$3:T$5, G322) &gt; 0, 0, 1)</f>
        <v>1</v>
      </c>
      <c r="M322" s="1">
        <v>30</v>
      </c>
      <c r="N322" s="1" t="s">
        <v>8</v>
      </c>
      <c r="O322" s="1">
        <f>INDEX(W:W, MATCH(N322, V:V, 0))*M322</f>
        <v>13.5</v>
      </c>
      <c r="P322" s="19">
        <f>H322-O322</f>
        <v>-4.75</v>
      </c>
      <c r="Q322" s="19">
        <f>M322-F322</f>
        <v>20</v>
      </c>
    </row>
    <row r="323" spans="1:18" ht="18" customHeight="1" x14ac:dyDescent="0.35">
      <c r="A323" s="9">
        <v>441</v>
      </c>
      <c r="B323" t="s">
        <v>17</v>
      </c>
      <c r="C323" t="s">
        <v>18</v>
      </c>
      <c r="D323" t="s">
        <v>17</v>
      </c>
      <c r="E323" t="s">
        <v>20</v>
      </c>
      <c r="F323" s="23">
        <v>20</v>
      </c>
      <c r="G323" s="19" t="s">
        <v>13</v>
      </c>
      <c r="H323" s="34">
        <f>INDEX(U:U, MATCH(G323, T:T, 0))*F323</f>
        <v>17.5</v>
      </c>
      <c r="I323" s="34">
        <f t="shared" si="10"/>
        <v>1</v>
      </c>
      <c r="J323" s="34">
        <f t="shared" si="11"/>
        <v>1</v>
      </c>
      <c r="L323" s="9" t="s">
        <v>105</v>
      </c>
      <c r="N323" s="1" t="s">
        <v>13</v>
      </c>
      <c r="O323" s="1">
        <f>INDEX(W:W, MATCH(N323, V:V, 0))*F323</f>
        <v>20</v>
      </c>
      <c r="P323" s="19">
        <f>H323-O323</f>
        <v>-2.5</v>
      </c>
      <c r="R323" s="49" t="s">
        <v>106</v>
      </c>
    </row>
    <row r="324" spans="1:18" ht="18" customHeight="1" x14ac:dyDescent="0.35">
      <c r="A324" s="9">
        <v>456</v>
      </c>
      <c r="B324" t="s">
        <v>17</v>
      </c>
      <c r="C324" t="s">
        <v>18</v>
      </c>
      <c r="D324" t="s">
        <v>17</v>
      </c>
      <c r="E324" t="s">
        <v>21</v>
      </c>
      <c r="F324" s="23">
        <v>90</v>
      </c>
      <c r="G324" s="19" t="s">
        <v>13</v>
      </c>
      <c r="H324" s="34">
        <f>INDEX(U:U, MATCH(G324, T:T, 0))*F324</f>
        <v>78.75</v>
      </c>
      <c r="I324" s="34">
        <f t="shared" si="10"/>
        <v>1</v>
      </c>
      <c r="J324" s="34">
        <f t="shared" si="11"/>
        <v>1</v>
      </c>
      <c r="K324" s="41" t="s">
        <v>73</v>
      </c>
      <c r="M324" s="1">
        <v>80</v>
      </c>
      <c r="N324" s="1" t="s">
        <v>8</v>
      </c>
      <c r="O324" s="1">
        <f>INDEX(W:W, MATCH(N324, V:V, 0))*M324</f>
        <v>36</v>
      </c>
      <c r="P324" s="19">
        <f>H324-O324</f>
        <v>42.75</v>
      </c>
      <c r="Q324" s="19">
        <f>M324-F324</f>
        <v>-10</v>
      </c>
    </row>
    <row r="325" spans="1:18" ht="18" customHeight="1" x14ac:dyDescent="0.35">
      <c r="A325" s="9">
        <v>459</v>
      </c>
      <c r="B325" t="s">
        <v>17</v>
      </c>
      <c r="C325" t="s">
        <v>18</v>
      </c>
      <c r="D325" t="s">
        <v>17</v>
      </c>
      <c r="E325" t="s">
        <v>20</v>
      </c>
      <c r="F325" s="23">
        <v>80</v>
      </c>
      <c r="G325" s="19" t="s">
        <v>13</v>
      </c>
      <c r="H325" s="34">
        <f>INDEX(U:U, MATCH(G325, T:T, 0))*F325</f>
        <v>70</v>
      </c>
      <c r="I325" s="34">
        <f t="shared" si="10"/>
        <v>1</v>
      </c>
      <c r="J325" s="34">
        <f t="shared" si="11"/>
        <v>1</v>
      </c>
      <c r="K325" s="41" t="s">
        <v>69</v>
      </c>
    </row>
    <row r="326" spans="1:18" ht="18" customHeight="1" x14ac:dyDescent="0.35">
      <c r="A326" s="9">
        <v>603</v>
      </c>
      <c r="B326" t="s">
        <v>17</v>
      </c>
      <c r="C326" t="s">
        <v>17</v>
      </c>
      <c r="D326" t="s">
        <v>18</v>
      </c>
      <c r="E326" t="s">
        <v>20</v>
      </c>
      <c r="F326" s="23">
        <v>15</v>
      </c>
      <c r="G326" s="19" t="s">
        <v>13</v>
      </c>
      <c r="H326" s="34">
        <f>INDEX(U:U, MATCH(G326, T:T, 0))*F326</f>
        <v>13.125</v>
      </c>
      <c r="I326" s="34">
        <f t="shared" si="10"/>
        <v>1</v>
      </c>
      <c r="J326" s="34">
        <f t="shared" si="11"/>
        <v>1</v>
      </c>
      <c r="L326" s="9" t="s">
        <v>105</v>
      </c>
      <c r="M326" s="1">
        <v>5</v>
      </c>
      <c r="N326" s="1" t="s">
        <v>13</v>
      </c>
      <c r="O326" s="1">
        <f>INDEX(W:W, MATCH(N326, V:V, 0))*M326</f>
        <v>5</v>
      </c>
      <c r="P326" s="19">
        <f>H326-O326</f>
        <v>8.125</v>
      </c>
      <c r="Q326" s="19">
        <f>M326-F326</f>
        <v>-10</v>
      </c>
    </row>
    <row r="327" spans="1:18" ht="18" customHeight="1" x14ac:dyDescent="0.35">
      <c r="A327" s="9">
        <v>625</v>
      </c>
      <c r="B327" t="s">
        <v>17</v>
      </c>
      <c r="C327" t="s">
        <v>18</v>
      </c>
      <c r="D327" t="s">
        <v>18</v>
      </c>
      <c r="E327" t="s">
        <v>21</v>
      </c>
      <c r="F327" s="23">
        <v>50</v>
      </c>
      <c r="G327" s="19" t="s">
        <v>13</v>
      </c>
      <c r="H327" s="34">
        <f>INDEX(U:U, MATCH(G327, T:T, 0))*F327</f>
        <v>43.75</v>
      </c>
      <c r="I327" s="34">
        <f t="shared" si="10"/>
        <v>1</v>
      </c>
      <c r="J327" s="34">
        <f t="shared" si="11"/>
        <v>1</v>
      </c>
    </row>
    <row r="328" spans="1:18" ht="18" customHeight="1" x14ac:dyDescent="0.35">
      <c r="A328" s="9">
        <v>626</v>
      </c>
      <c r="B328" t="s">
        <v>17</v>
      </c>
      <c r="C328" t="s">
        <v>18</v>
      </c>
      <c r="D328" t="s">
        <v>18</v>
      </c>
      <c r="E328" t="s">
        <v>19</v>
      </c>
      <c r="F328" s="23">
        <v>50</v>
      </c>
      <c r="G328" s="19" t="s">
        <v>13</v>
      </c>
      <c r="H328" s="34">
        <f>INDEX(U:U, MATCH(G328, T:T, 0))*F328</f>
        <v>43.75</v>
      </c>
      <c r="I328" s="34">
        <f t="shared" si="10"/>
        <v>1</v>
      </c>
      <c r="J328" s="34">
        <f t="shared" si="11"/>
        <v>1</v>
      </c>
    </row>
    <row r="329" spans="1:18" ht="18" customHeight="1" x14ac:dyDescent="0.35">
      <c r="A329" s="9">
        <v>645</v>
      </c>
      <c r="B329" t="s">
        <v>17</v>
      </c>
      <c r="C329" t="s">
        <v>18</v>
      </c>
      <c r="D329" t="s">
        <v>18</v>
      </c>
      <c r="E329" t="s">
        <v>20</v>
      </c>
      <c r="F329" s="23">
        <v>10</v>
      </c>
      <c r="G329" s="19" t="s">
        <v>13</v>
      </c>
      <c r="H329" s="34">
        <f>INDEX(U:U, MATCH(G329, T:T, 0))*F329</f>
        <v>8.75</v>
      </c>
      <c r="I329" s="34">
        <f t="shared" si="10"/>
        <v>1</v>
      </c>
      <c r="J329" s="34">
        <f t="shared" si="11"/>
        <v>1</v>
      </c>
      <c r="K329" s="41" t="s">
        <v>43</v>
      </c>
      <c r="N329" s="1" t="s">
        <v>10</v>
      </c>
      <c r="O329" s="1">
        <f>INDEX(W:W, MATCH(N329, V:V, 0))*F329</f>
        <v>10</v>
      </c>
      <c r="P329" s="19">
        <f>H329-O329</f>
        <v>-1.25</v>
      </c>
      <c r="R329" s="49" t="s">
        <v>121</v>
      </c>
    </row>
    <row r="330" spans="1:18" ht="18" customHeight="1" x14ac:dyDescent="0.35">
      <c r="A330" s="9">
        <v>648</v>
      </c>
      <c r="B330" t="s">
        <v>17</v>
      </c>
      <c r="C330" t="s">
        <v>18</v>
      </c>
      <c r="D330" t="s">
        <v>17</v>
      </c>
      <c r="E330" t="s">
        <v>20</v>
      </c>
      <c r="F330" s="23">
        <v>5</v>
      </c>
      <c r="G330" s="19" t="s">
        <v>13</v>
      </c>
      <c r="H330" s="34">
        <f>INDEX(U:U, MATCH(G330, T:T, 0))*F330</f>
        <v>4.375</v>
      </c>
      <c r="I330" s="34">
        <f t="shared" si="10"/>
        <v>1</v>
      </c>
      <c r="J330" s="34">
        <f t="shared" si="11"/>
        <v>1</v>
      </c>
      <c r="K330" s="41" t="s">
        <v>28</v>
      </c>
    </row>
    <row r="331" spans="1:18" ht="18" customHeight="1" x14ac:dyDescent="0.35">
      <c r="A331" s="9">
        <v>649</v>
      </c>
      <c r="B331" t="s">
        <v>17</v>
      </c>
      <c r="C331" t="s">
        <v>18</v>
      </c>
      <c r="D331" t="s">
        <v>18</v>
      </c>
      <c r="E331" t="s">
        <v>20</v>
      </c>
      <c r="F331" s="23">
        <v>40</v>
      </c>
      <c r="G331" s="19" t="s">
        <v>13</v>
      </c>
      <c r="H331" s="34">
        <f>INDEX(U:U, MATCH(G331, T:T, 0))*F331</f>
        <v>35</v>
      </c>
      <c r="I331" s="34">
        <f t="shared" si="10"/>
        <v>1</v>
      </c>
      <c r="J331" s="34">
        <f t="shared" si="11"/>
        <v>1</v>
      </c>
      <c r="K331" s="41" t="s">
        <v>57</v>
      </c>
    </row>
    <row r="332" spans="1:18" ht="18" customHeight="1" x14ac:dyDescent="0.35">
      <c r="A332" s="9">
        <v>194</v>
      </c>
      <c r="B332" t="s">
        <v>17</v>
      </c>
      <c r="C332" t="s">
        <v>17</v>
      </c>
      <c r="D332" t="s">
        <v>17</v>
      </c>
      <c r="E332" t="s">
        <v>17</v>
      </c>
      <c r="H332" s="34" t="e">
        <f>INDEX(U:U, MATCH(G332, T:T, 0))*F332</f>
        <v>#N/A</v>
      </c>
      <c r="K332" s="41" t="s">
        <v>15</v>
      </c>
    </row>
    <row r="333" spans="1:18" ht="18" customHeight="1" x14ac:dyDescent="0.35">
      <c r="A333" s="9">
        <v>419</v>
      </c>
      <c r="B333" t="s">
        <v>17</v>
      </c>
      <c r="C333" t="s">
        <v>17</v>
      </c>
      <c r="D333" t="s">
        <v>17</v>
      </c>
      <c r="E333" t="s">
        <v>17</v>
      </c>
      <c r="H333" s="34" t="e">
        <f>INDEX(U:U, MATCH(G333, T:T, 0))*F333</f>
        <v>#N/A</v>
      </c>
      <c r="K333" s="41" t="s">
        <v>15</v>
      </c>
    </row>
    <row r="334" spans="1:18" ht="18" customHeight="1" x14ac:dyDescent="0.35">
      <c r="A334" s="9">
        <v>569</v>
      </c>
      <c r="B334" t="s">
        <v>17</v>
      </c>
      <c r="C334" t="s">
        <v>17</v>
      </c>
      <c r="D334" t="s">
        <v>17</v>
      </c>
      <c r="E334" t="s">
        <v>17</v>
      </c>
      <c r="H334" s="34" t="e">
        <f>INDEX(U:U, MATCH(G334, T:T, 0))*F334</f>
        <v>#N/A</v>
      </c>
      <c r="K334" s="41" t="s">
        <v>16</v>
      </c>
    </row>
    <row r="335" spans="1:18" ht="18" customHeight="1" x14ac:dyDescent="0.35">
      <c r="A335" s="9">
        <v>641</v>
      </c>
      <c r="B335" t="s">
        <v>17</v>
      </c>
      <c r="C335" t="s">
        <v>17</v>
      </c>
      <c r="D335" t="s">
        <v>17</v>
      </c>
      <c r="E335" t="s">
        <v>17</v>
      </c>
      <c r="H335" s="34" t="e">
        <f>INDEX(U:U, MATCH(G335, T:T, 0))*F335</f>
        <v>#N/A</v>
      </c>
      <c r="K335" s="41" t="s">
        <v>16</v>
      </c>
    </row>
    <row r="336" spans="1:18" x14ac:dyDescent="0.35">
      <c r="A336" s="9">
        <v>650</v>
      </c>
      <c r="B336" t="s">
        <v>17</v>
      </c>
      <c r="C336" t="s">
        <v>17</v>
      </c>
      <c r="D336" t="s">
        <v>17</v>
      </c>
      <c r="E336" t="s">
        <v>17</v>
      </c>
      <c r="H336" s="34" t="e">
        <f>INDEX(U:U, MATCH(G336, T:T, 0))*F336</f>
        <v>#N/A</v>
      </c>
      <c r="K336" s="41" t="s">
        <v>16</v>
      </c>
    </row>
    <row r="337" spans="1:11" x14ac:dyDescent="0.35">
      <c r="A337" s="9">
        <v>741</v>
      </c>
      <c r="B337" t="s">
        <v>17</v>
      </c>
      <c r="C337" t="s">
        <v>17</v>
      </c>
      <c r="D337" t="s">
        <v>17</v>
      </c>
      <c r="E337" t="s">
        <v>17</v>
      </c>
      <c r="H337" s="34" t="e">
        <f>INDEX(U:U, MATCH(G337, T:T, 0))*F337</f>
        <v>#N/A</v>
      </c>
      <c r="K337" s="41" t="s">
        <v>15</v>
      </c>
    </row>
    <row r="338" spans="1:11" x14ac:dyDescent="0.35">
      <c r="A338" s="9"/>
    </row>
    <row r="339" spans="1:11" x14ac:dyDescent="0.35">
      <c r="A339" s="9"/>
    </row>
    <row r="340" spans="1:11" x14ac:dyDescent="0.35">
      <c r="A340" s="9"/>
    </row>
    <row r="341" spans="1:11" x14ac:dyDescent="0.35">
      <c r="A341" s="9"/>
    </row>
    <row r="342" spans="1:11" x14ac:dyDescent="0.35">
      <c r="A342" s="9"/>
    </row>
    <row r="343" spans="1:11" x14ac:dyDescent="0.35">
      <c r="A343" s="9"/>
    </row>
    <row r="344" spans="1:11" x14ac:dyDescent="0.35">
      <c r="A344" s="9"/>
    </row>
    <row r="345" spans="1:11" x14ac:dyDescent="0.35">
      <c r="A345" s="9"/>
    </row>
    <row r="346" spans="1:11" x14ac:dyDescent="0.35">
      <c r="A346" s="9"/>
    </row>
    <row r="347" spans="1:11" x14ac:dyDescent="0.35">
      <c r="A347" s="9"/>
    </row>
    <row r="348" spans="1:11" x14ac:dyDescent="0.35">
      <c r="A348" s="9"/>
    </row>
    <row r="349" spans="1:11" x14ac:dyDescent="0.35">
      <c r="A349" s="9"/>
    </row>
    <row r="350" spans="1:11" x14ac:dyDescent="0.35">
      <c r="A350" s="9"/>
    </row>
    <row r="351" spans="1:11" x14ac:dyDescent="0.35">
      <c r="A351" s="9"/>
    </row>
    <row r="352" spans="1:11" x14ac:dyDescent="0.35">
      <c r="A352" s="9"/>
    </row>
    <row r="353" spans="1:1" x14ac:dyDescent="0.35">
      <c r="A353" s="9"/>
    </row>
    <row r="354" spans="1:1" x14ac:dyDescent="0.35">
      <c r="A354" s="9"/>
    </row>
    <row r="355" spans="1:1" x14ac:dyDescent="0.35">
      <c r="A355" s="9"/>
    </row>
    <row r="356" spans="1:1" x14ac:dyDescent="0.35">
      <c r="A356" s="9"/>
    </row>
    <row r="357" spans="1:1" x14ac:dyDescent="0.35">
      <c r="A357" s="9"/>
    </row>
    <row r="358" spans="1:1" x14ac:dyDescent="0.35">
      <c r="A358" s="9"/>
    </row>
    <row r="359" spans="1:1" x14ac:dyDescent="0.35">
      <c r="A359" s="9"/>
    </row>
    <row r="360" spans="1:1" x14ac:dyDescent="0.35">
      <c r="A360" s="9"/>
    </row>
    <row r="361" spans="1:1" x14ac:dyDescent="0.35">
      <c r="A361" s="9"/>
    </row>
    <row r="362" spans="1:1" x14ac:dyDescent="0.35">
      <c r="A362" s="9"/>
    </row>
    <row r="363" spans="1:1" x14ac:dyDescent="0.35">
      <c r="A363" s="9"/>
    </row>
    <row r="364" spans="1:1" x14ac:dyDescent="0.35">
      <c r="A364" s="9"/>
    </row>
    <row r="365" spans="1:1" x14ac:dyDescent="0.35">
      <c r="A365" s="9"/>
    </row>
    <row r="366" spans="1:1" x14ac:dyDescent="0.35">
      <c r="A366" s="9"/>
    </row>
    <row r="367" spans="1:1" x14ac:dyDescent="0.35">
      <c r="A367" s="9"/>
    </row>
    <row r="368" spans="1:1" x14ac:dyDescent="0.35">
      <c r="A368" s="9"/>
    </row>
    <row r="369" spans="1:10" x14ac:dyDescent="0.35">
      <c r="A369" s="9"/>
    </row>
    <row r="370" spans="1:10" x14ac:dyDescent="0.35">
      <c r="A370" s="9"/>
    </row>
    <row r="371" spans="1:10" x14ac:dyDescent="0.35">
      <c r="A371" s="9"/>
    </row>
    <row r="372" spans="1:10" x14ac:dyDescent="0.35">
      <c r="A372" s="9"/>
    </row>
    <row r="373" spans="1:10" x14ac:dyDescent="0.35">
      <c r="A373" s="9"/>
    </row>
    <row r="374" spans="1:10" x14ac:dyDescent="0.35">
      <c r="A374" s="9"/>
    </row>
    <row r="375" spans="1:10" x14ac:dyDescent="0.35">
      <c r="A375" s="9"/>
    </row>
    <row r="376" spans="1:10" x14ac:dyDescent="0.35">
      <c r="A376" s="9"/>
    </row>
    <row r="377" spans="1:10" x14ac:dyDescent="0.35">
      <c r="A377" s="9"/>
    </row>
    <row r="378" spans="1:10" x14ac:dyDescent="0.35">
      <c r="A378" s="9"/>
    </row>
    <row r="379" spans="1:10" ht="15" thickBot="1" x14ac:dyDescent="0.4">
      <c r="A379" s="9"/>
      <c r="F379" s="29"/>
    </row>
    <row r="380" spans="1:10" ht="15" thickBot="1" x14ac:dyDescent="0.4">
      <c r="A380" s="9"/>
      <c r="F380" s="22"/>
      <c r="G380" s="20"/>
      <c r="H380" s="35"/>
      <c r="I380" s="35"/>
      <c r="J380" s="35"/>
    </row>
    <row r="381" spans="1:10" x14ac:dyDescent="0.35">
      <c r="A381" s="9"/>
      <c r="G381" s="21"/>
      <c r="H381" s="36"/>
      <c r="I381" s="36"/>
      <c r="J381" s="36"/>
    </row>
    <row r="382" spans="1:10" x14ac:dyDescent="0.35">
      <c r="A382" s="9"/>
    </row>
    <row r="383" spans="1:10" x14ac:dyDescent="0.35">
      <c r="A383" s="9"/>
    </row>
    <row r="384" spans="1:10" x14ac:dyDescent="0.35">
      <c r="A384" s="9"/>
    </row>
    <row r="385" spans="1:11" x14ac:dyDescent="0.35">
      <c r="A385" s="9"/>
    </row>
    <row r="386" spans="1:11" ht="15" thickBot="1" x14ac:dyDescent="0.4">
      <c r="A386" s="10"/>
      <c r="B386" s="11"/>
      <c r="C386" s="12"/>
      <c r="D386" s="13"/>
      <c r="E386" s="26"/>
    </row>
    <row r="387" spans="1:11" x14ac:dyDescent="0.35">
      <c r="A387" s="5"/>
      <c r="B387" s="6"/>
      <c r="C387" s="7"/>
      <c r="D387" s="8"/>
      <c r="E387" s="27"/>
    </row>
    <row r="388" spans="1:11" ht="15" thickBot="1" x14ac:dyDescent="0.4">
      <c r="H388" s="35"/>
      <c r="I388" s="35"/>
      <c r="J388" s="35"/>
      <c r="K388" s="43"/>
    </row>
    <row r="389" spans="1:11" x14ac:dyDescent="0.35">
      <c r="H389" s="36"/>
      <c r="I389" s="36"/>
      <c r="J389" s="36"/>
      <c r="K389" s="44"/>
    </row>
  </sheetData>
  <sortState xmlns:xlrd2="http://schemas.microsoft.com/office/spreadsheetml/2017/richdata2" ref="A3:R337">
    <sortCondition ref="G119:G337"/>
  </sortState>
  <mergeCells count="4">
    <mergeCell ref="A1:K1"/>
    <mergeCell ref="T1:U1"/>
    <mergeCell ref="V1:W1"/>
    <mergeCell ref="L1:R1"/>
  </mergeCells>
  <conditionalFormatting sqref="B3:E337">
    <cfRule type="cellIs" dxfId="5" priority="8" operator="equal">
      <formula>$B$3</formula>
    </cfRule>
  </conditionalFormatting>
  <conditionalFormatting sqref="E2:E1048576">
    <cfRule type="cellIs" dxfId="4" priority="1" operator="equal">
      <formula>$E$47</formula>
    </cfRule>
    <cfRule type="cellIs" dxfId="3" priority="3" operator="equal">
      <formula>$E$14</formula>
    </cfRule>
    <cfRule type="cellIs" dxfId="2" priority="4" operator="equal">
      <formula>$E$3</formula>
    </cfRule>
  </conditionalFormatting>
  <conditionalFormatting sqref="E3:E4">
    <cfRule type="containsText" dxfId="1" priority="5" operator="containsText" text="Restricted">
      <formula>NOT(ISERROR(SEARCH("Restricted",E3)))</formula>
    </cfRule>
  </conditionalFormatting>
  <conditionalFormatting sqref="E7">
    <cfRule type="containsText" dxfId="0" priority="6" operator="containsText" text="Unrestricted">
      <formula>NOT(ISERROR(SEARCH("Unrestricted",E7)))</formula>
    </cfRule>
  </conditionalFormatting>
  <conditionalFormatting sqref="A3:A33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left="0.25" right="0.25" top="0.75" bottom="0.75" header="0.3" footer="0.3"/>
  <pageSetup scale="80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0B620AAE-14CB-4CCE-9D01-BD58A7E69C06}">
            <xm:f>NOT(ISERROR(SEARCH($C$3,B3)))</xm:f>
            <xm:f>$C$3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B3:E337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03DF-12A0-42AD-9365-DABCFF4D103A}">
  <dimension ref="A1:K336"/>
  <sheetViews>
    <sheetView workbookViewId="0">
      <selection activeCell="I1" sqref="I1"/>
    </sheetView>
  </sheetViews>
  <sheetFormatPr defaultRowHeight="14.5" x14ac:dyDescent="0.35"/>
  <sheetData>
    <row r="1" spans="1:11" x14ac:dyDescent="0.35">
      <c r="A1" t="str" cm="1">
        <f t="array" ref="A1:K336">Sheet1!A2:K337</f>
        <v>IID</v>
      </c>
      <c r="B1" t="str">
        <v>Flecking (white)</v>
      </c>
      <c r="C1" t="str">
        <v>Chlorosis (red)</v>
      </c>
      <c r="D1" t="str">
        <v>Necrosis</v>
      </c>
      <c r="E1" t="str">
        <v>Active sporulation (restr./not restr.)</v>
      </c>
      <c r="F1" t="str">
        <v>Coverage</v>
      </c>
      <c r="G1" t="str">
        <v>Imm. resp.</v>
      </c>
      <c r="H1" t="str">
        <v>COI scores</v>
      </c>
      <c r="I1" t="str">
        <v>Binary_MS</v>
      </c>
      <c r="J1" t="str">
        <v>Binary_MRMS</v>
      </c>
      <c r="K1" t="str">
        <v>Notes</v>
      </c>
    </row>
    <row r="2" spans="1:11" x14ac:dyDescent="0.35">
      <c r="A2">
        <v>5</v>
      </c>
      <c r="B2" t="str">
        <v>No</v>
      </c>
      <c r="C2" t="str">
        <v>No</v>
      </c>
      <c r="D2" t="str">
        <v>No</v>
      </c>
      <c r="E2" t="str">
        <v>No</v>
      </c>
      <c r="F2">
        <v>0</v>
      </c>
      <c r="G2" t="str">
        <v>HR</v>
      </c>
      <c r="H2">
        <v>0</v>
      </c>
      <c r="I2">
        <v>0</v>
      </c>
      <c r="J2">
        <v>0</v>
      </c>
      <c r="K2">
        <v>0</v>
      </c>
    </row>
    <row r="3" spans="1:11" x14ac:dyDescent="0.35">
      <c r="A3">
        <v>6</v>
      </c>
      <c r="B3" t="str">
        <v>No</v>
      </c>
      <c r="C3" t="str">
        <v>No</v>
      </c>
      <c r="D3" t="str">
        <v>No</v>
      </c>
      <c r="E3" t="str">
        <v>No</v>
      </c>
      <c r="F3">
        <v>0</v>
      </c>
      <c r="G3" t="str">
        <v>HR</v>
      </c>
      <c r="H3">
        <v>0</v>
      </c>
      <c r="I3">
        <v>0</v>
      </c>
      <c r="J3">
        <v>0</v>
      </c>
      <c r="K3">
        <v>0</v>
      </c>
    </row>
    <row r="4" spans="1:11" x14ac:dyDescent="0.35">
      <c r="A4">
        <v>7</v>
      </c>
      <c r="B4" t="str">
        <v>No</v>
      </c>
      <c r="C4" t="str">
        <v>No</v>
      </c>
      <c r="D4" t="str">
        <v>No</v>
      </c>
      <c r="E4" t="str">
        <v>No</v>
      </c>
      <c r="F4">
        <v>0</v>
      </c>
      <c r="G4" t="str">
        <v>HR</v>
      </c>
      <c r="H4">
        <v>0</v>
      </c>
      <c r="I4">
        <v>0</v>
      </c>
      <c r="J4">
        <v>0</v>
      </c>
      <c r="K4">
        <v>0</v>
      </c>
    </row>
    <row r="5" spans="1:11" x14ac:dyDescent="0.35">
      <c r="A5">
        <v>9</v>
      </c>
      <c r="B5" t="str">
        <v>No</v>
      </c>
      <c r="C5" t="str">
        <v>No</v>
      </c>
      <c r="D5" t="str">
        <v>No</v>
      </c>
      <c r="E5" t="str">
        <v>No</v>
      </c>
      <c r="F5">
        <v>0</v>
      </c>
      <c r="G5" t="str">
        <v>HR</v>
      </c>
      <c r="H5">
        <v>0</v>
      </c>
      <c r="I5">
        <v>0</v>
      </c>
      <c r="J5">
        <v>0</v>
      </c>
      <c r="K5">
        <v>0</v>
      </c>
    </row>
    <row r="6" spans="1:11" x14ac:dyDescent="0.35">
      <c r="A6">
        <v>10</v>
      </c>
      <c r="B6" t="str">
        <v>No</v>
      </c>
      <c r="C6" t="str">
        <v>No</v>
      </c>
      <c r="D6" t="str">
        <v>No</v>
      </c>
      <c r="E6" t="str">
        <v>No</v>
      </c>
      <c r="F6">
        <v>0</v>
      </c>
      <c r="G6" t="str">
        <v>HR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16</v>
      </c>
      <c r="B7" t="str">
        <v>No</v>
      </c>
      <c r="C7" t="str">
        <v>No</v>
      </c>
      <c r="D7" t="str">
        <v>No</v>
      </c>
      <c r="E7" t="str">
        <v>No</v>
      </c>
      <c r="F7">
        <v>0</v>
      </c>
      <c r="G7" t="str">
        <v>HR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23</v>
      </c>
      <c r="B8" t="str">
        <v>No</v>
      </c>
      <c r="C8" t="str">
        <v>No</v>
      </c>
      <c r="D8" t="str">
        <v>No</v>
      </c>
      <c r="E8" t="str">
        <v>No</v>
      </c>
      <c r="F8">
        <v>0</v>
      </c>
      <c r="G8" t="str">
        <v>HR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26</v>
      </c>
      <c r="B9" t="str">
        <v>No</v>
      </c>
      <c r="C9" t="str">
        <v>No</v>
      </c>
      <c r="D9" t="str">
        <v>No</v>
      </c>
      <c r="E9" t="str">
        <v>No</v>
      </c>
      <c r="F9">
        <v>0</v>
      </c>
      <c r="G9" t="str">
        <v>HR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29</v>
      </c>
      <c r="B10" t="str">
        <v>No</v>
      </c>
      <c r="C10" t="str">
        <v>No</v>
      </c>
      <c r="D10" t="str">
        <v>No</v>
      </c>
      <c r="E10" t="str">
        <v>No</v>
      </c>
      <c r="F10">
        <v>0</v>
      </c>
      <c r="G10" t="str">
        <v>HR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42</v>
      </c>
      <c r="B11" t="str">
        <v>No</v>
      </c>
      <c r="C11" t="str">
        <v>No</v>
      </c>
      <c r="D11" t="str">
        <v>No</v>
      </c>
      <c r="E11" t="str">
        <v>No</v>
      </c>
      <c r="F11">
        <v>0</v>
      </c>
      <c r="G11" t="str">
        <v>HR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45</v>
      </c>
      <c r="B12" t="str">
        <v>No</v>
      </c>
      <c r="C12" t="str">
        <v>No</v>
      </c>
      <c r="D12" t="str">
        <v>No</v>
      </c>
      <c r="E12" t="str">
        <v>No</v>
      </c>
      <c r="F12">
        <v>0</v>
      </c>
      <c r="G12" t="str">
        <v>HR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47</v>
      </c>
      <c r="B13" t="str">
        <v>No</v>
      </c>
      <c r="C13" t="str">
        <v>No</v>
      </c>
      <c r="D13" t="str">
        <v>No</v>
      </c>
      <c r="E13" t="str">
        <v>No</v>
      </c>
      <c r="F13">
        <v>0</v>
      </c>
      <c r="G13" t="str">
        <v>HR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64</v>
      </c>
      <c r="B14" t="str">
        <v>No</v>
      </c>
      <c r="C14" t="str">
        <v>No</v>
      </c>
      <c r="D14" t="str">
        <v>No</v>
      </c>
      <c r="E14" t="str">
        <v>No</v>
      </c>
      <c r="F14">
        <v>0</v>
      </c>
      <c r="G14" t="str">
        <v>HR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78</v>
      </c>
      <c r="B15" t="str">
        <v>No</v>
      </c>
      <c r="C15" t="str">
        <v>No</v>
      </c>
      <c r="D15" t="str">
        <v>No</v>
      </c>
      <c r="E15" t="str">
        <v>No</v>
      </c>
      <c r="F15">
        <v>0</v>
      </c>
      <c r="G15" t="str">
        <v>HR</v>
      </c>
      <c r="H15">
        <v>0</v>
      </c>
      <c r="I15">
        <v>0</v>
      </c>
      <c r="J15">
        <v>0</v>
      </c>
      <c r="K15" t="str">
        <v>Dead tip (caterpillar) - live tissue is clean</v>
      </c>
    </row>
    <row r="16" spans="1:11" x14ac:dyDescent="0.35">
      <c r="A16">
        <v>96</v>
      </c>
      <c r="B16" t="str">
        <v>No</v>
      </c>
      <c r="C16" t="str">
        <v>No</v>
      </c>
      <c r="D16" t="str">
        <v>No</v>
      </c>
      <c r="E16" t="str">
        <v>No</v>
      </c>
      <c r="F16">
        <v>0</v>
      </c>
      <c r="G16" t="str">
        <v>HR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98</v>
      </c>
      <c r="B17" t="str">
        <v>No</v>
      </c>
      <c r="C17" t="str">
        <v>No</v>
      </c>
      <c r="D17" t="str">
        <v>No</v>
      </c>
      <c r="E17" t="str">
        <v>No</v>
      </c>
      <c r="F17">
        <v>0</v>
      </c>
      <c r="G17" t="str">
        <v>HR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99</v>
      </c>
      <c r="B18" t="str">
        <v>No</v>
      </c>
      <c r="C18" t="str">
        <v>No</v>
      </c>
      <c r="D18" t="str">
        <v>No</v>
      </c>
      <c r="E18" t="str">
        <v>No</v>
      </c>
      <c r="F18">
        <v>0</v>
      </c>
      <c r="G18" t="str">
        <v>HR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123</v>
      </c>
      <c r="B19" t="str">
        <v>No</v>
      </c>
      <c r="C19" t="str">
        <v>No</v>
      </c>
      <c r="D19" t="str">
        <v>No</v>
      </c>
      <c r="E19" t="str">
        <v>No</v>
      </c>
      <c r="F19">
        <v>0</v>
      </c>
      <c r="G19" t="str">
        <v>HR</v>
      </c>
      <c r="H19">
        <v>0</v>
      </c>
      <c r="I19">
        <v>0</v>
      </c>
      <c r="J19">
        <v>0</v>
      </c>
      <c r="K19" t="str">
        <v>No growth tip.</v>
      </c>
    </row>
    <row r="20" spans="1:11" x14ac:dyDescent="0.35">
      <c r="A20">
        <v>136</v>
      </c>
      <c r="B20" t="str">
        <v>No</v>
      </c>
      <c r="C20" t="str">
        <v>No</v>
      </c>
      <c r="D20" t="str">
        <v>No</v>
      </c>
      <c r="E20" t="str">
        <v>No</v>
      </c>
      <c r="F20">
        <v>0</v>
      </c>
      <c r="G20" t="str">
        <v>HR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143</v>
      </c>
      <c r="B21" t="str">
        <v>No</v>
      </c>
      <c r="C21" t="str">
        <v>No</v>
      </c>
      <c r="D21" t="str">
        <v>No</v>
      </c>
      <c r="E21" t="str">
        <v>No</v>
      </c>
      <c r="F21">
        <v>0</v>
      </c>
      <c r="G21" t="str">
        <v>HR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144</v>
      </c>
      <c r="B22" t="str">
        <v>No</v>
      </c>
      <c r="C22" t="str">
        <v>No</v>
      </c>
      <c r="D22" t="str">
        <v>No</v>
      </c>
      <c r="E22" t="str">
        <v>No</v>
      </c>
      <c r="F22">
        <v>0</v>
      </c>
      <c r="G22" t="str">
        <v>HR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151</v>
      </c>
      <c r="B23" t="str">
        <v>No</v>
      </c>
      <c r="C23" t="str">
        <v>No</v>
      </c>
      <c r="D23" t="str">
        <v>No</v>
      </c>
      <c r="E23" t="str">
        <v>No</v>
      </c>
      <c r="F23">
        <v>0</v>
      </c>
      <c r="G23" t="str">
        <v>HR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153</v>
      </c>
      <c r="B24" t="str">
        <v>No</v>
      </c>
      <c r="C24" t="str">
        <v>No</v>
      </c>
      <c r="D24" t="str">
        <v>No</v>
      </c>
      <c r="E24" t="str">
        <v>No</v>
      </c>
      <c r="F24">
        <v>0</v>
      </c>
      <c r="G24" t="str">
        <v>HR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154</v>
      </c>
      <c r="B25" t="str">
        <v>No</v>
      </c>
      <c r="C25" t="str">
        <v>No</v>
      </c>
      <c r="D25" t="str">
        <v>No</v>
      </c>
      <c r="E25" t="str">
        <v>No</v>
      </c>
      <c r="F25">
        <v>0</v>
      </c>
      <c r="G25" t="str">
        <v>HR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156</v>
      </c>
      <c r="B26" t="str">
        <v>No</v>
      </c>
      <c r="C26" t="str">
        <v>No</v>
      </c>
      <c r="D26" t="str">
        <v>No</v>
      </c>
      <c r="E26" t="str">
        <v>No</v>
      </c>
      <c r="F26">
        <v>0</v>
      </c>
      <c r="G26" t="str">
        <v>HR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158</v>
      </c>
      <c r="B27" t="str">
        <v>No</v>
      </c>
      <c r="C27" t="str">
        <v>No</v>
      </c>
      <c r="D27" t="str">
        <v>No</v>
      </c>
      <c r="E27" t="str">
        <v>No</v>
      </c>
      <c r="F27">
        <v>0</v>
      </c>
      <c r="G27" t="str">
        <v>HR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172</v>
      </c>
      <c r="B28" t="str">
        <v>No</v>
      </c>
      <c r="C28" t="str">
        <v>No</v>
      </c>
      <c r="D28" t="str">
        <v>No</v>
      </c>
      <c r="E28" t="str">
        <v>No</v>
      </c>
      <c r="F28">
        <v>0</v>
      </c>
      <c r="G28" t="str">
        <v>HR</v>
      </c>
      <c r="H28">
        <v>0</v>
      </c>
      <c r="I28">
        <v>0</v>
      </c>
      <c r="J28">
        <v>0</v>
      </c>
      <c r="K28" t="str">
        <v>Unhealthy</v>
      </c>
    </row>
    <row r="29" spans="1:11" x14ac:dyDescent="0.35">
      <c r="A29">
        <v>175</v>
      </c>
      <c r="B29" t="str">
        <v>No</v>
      </c>
      <c r="C29" t="str">
        <v>No</v>
      </c>
      <c r="D29" t="str">
        <v>No</v>
      </c>
      <c r="E29" t="str">
        <v>No</v>
      </c>
      <c r="F29">
        <v>0</v>
      </c>
      <c r="G29" t="str">
        <v>HR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176</v>
      </c>
      <c r="B30" t="str">
        <v>No</v>
      </c>
      <c r="C30" t="str">
        <v>No</v>
      </c>
      <c r="D30" t="str">
        <v>No</v>
      </c>
      <c r="E30" t="str">
        <v>No</v>
      </c>
      <c r="F30">
        <v>0</v>
      </c>
      <c r="G30" t="str">
        <v>HR</v>
      </c>
      <c r="H30">
        <v>0</v>
      </c>
      <c r="I30">
        <v>0</v>
      </c>
      <c r="J30">
        <v>0</v>
      </c>
      <c r="K30" t="str">
        <v>Two spots</v>
      </c>
    </row>
    <row r="31" spans="1:11" x14ac:dyDescent="0.35">
      <c r="A31">
        <v>178</v>
      </c>
      <c r="B31" t="str">
        <v>No</v>
      </c>
      <c r="C31" t="str">
        <v>No</v>
      </c>
      <c r="D31" t="str">
        <v>No</v>
      </c>
      <c r="E31" t="str">
        <v>No</v>
      </c>
      <c r="F31">
        <v>0</v>
      </c>
      <c r="G31" t="str">
        <v>HR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179</v>
      </c>
      <c r="B32" t="str">
        <v>No</v>
      </c>
      <c r="C32" t="str">
        <v>No</v>
      </c>
      <c r="D32" t="str">
        <v>No</v>
      </c>
      <c r="E32" t="str">
        <v>No</v>
      </c>
      <c r="F32">
        <v>0</v>
      </c>
      <c r="G32" t="str">
        <v>HR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180</v>
      </c>
      <c r="B33" t="str">
        <v>No</v>
      </c>
      <c r="C33" t="str">
        <v>No</v>
      </c>
      <c r="D33" t="str">
        <v>No</v>
      </c>
      <c r="E33" t="str">
        <v>No</v>
      </c>
      <c r="F33">
        <v>0</v>
      </c>
      <c r="G33" t="str">
        <v>HR</v>
      </c>
      <c r="H33">
        <v>0</v>
      </c>
      <c r="I33">
        <v>0</v>
      </c>
      <c r="J33">
        <v>0</v>
      </c>
      <c r="K33" t="str">
        <v>Unhealthy</v>
      </c>
    </row>
    <row r="34" spans="1:11" x14ac:dyDescent="0.35">
      <c r="A34">
        <v>191</v>
      </c>
      <c r="B34" t="str">
        <v>No</v>
      </c>
      <c r="C34" t="str">
        <v>No</v>
      </c>
      <c r="D34" t="str">
        <v>No</v>
      </c>
      <c r="E34" t="str">
        <v>No</v>
      </c>
      <c r="F34">
        <v>0</v>
      </c>
      <c r="G34" t="str">
        <v>HR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193</v>
      </c>
      <c r="B35" t="str">
        <v>No</v>
      </c>
      <c r="C35" t="str">
        <v>No</v>
      </c>
      <c r="D35" t="str">
        <v>No</v>
      </c>
      <c r="E35" t="str">
        <v>No</v>
      </c>
      <c r="F35">
        <v>0</v>
      </c>
      <c r="G35" t="str">
        <v>HR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>
        <v>198</v>
      </c>
      <c r="B36" t="str">
        <v>No</v>
      </c>
      <c r="C36" t="str">
        <v>No</v>
      </c>
      <c r="D36" t="str">
        <v>No</v>
      </c>
      <c r="E36" t="str">
        <v>No</v>
      </c>
      <c r="F36">
        <v>0</v>
      </c>
      <c r="G36" t="str">
        <v>HR</v>
      </c>
      <c r="H36">
        <v>0</v>
      </c>
      <c r="I36">
        <v>0</v>
      </c>
      <c r="J36">
        <v>0</v>
      </c>
      <c r="K36" t="str">
        <v>Unhealthy</v>
      </c>
    </row>
    <row r="37" spans="1:11" x14ac:dyDescent="0.35">
      <c r="A37">
        <v>199</v>
      </c>
      <c r="B37" t="str">
        <v>No</v>
      </c>
      <c r="C37" t="str">
        <v>No</v>
      </c>
      <c r="D37" t="str">
        <v>No</v>
      </c>
      <c r="E37" t="str">
        <v>No</v>
      </c>
      <c r="F37">
        <v>0</v>
      </c>
      <c r="G37" t="str">
        <v>HR</v>
      </c>
      <c r="H37">
        <v>0</v>
      </c>
      <c r="I37">
        <v>0</v>
      </c>
      <c r="J37">
        <v>0</v>
      </c>
      <c r="K37" t="str">
        <v>Unhealthy</v>
      </c>
    </row>
    <row r="38" spans="1:11" x14ac:dyDescent="0.35">
      <c r="A38">
        <v>227</v>
      </c>
      <c r="B38" t="str">
        <v>No</v>
      </c>
      <c r="C38" t="str">
        <v>No</v>
      </c>
      <c r="D38" t="str">
        <v>No</v>
      </c>
      <c r="E38" t="str">
        <v>No</v>
      </c>
      <c r="F38">
        <v>0</v>
      </c>
      <c r="G38" t="str">
        <v>HR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>
        <v>229</v>
      </c>
      <c r="B39" t="str">
        <v>No</v>
      </c>
      <c r="C39" t="str">
        <v>No</v>
      </c>
      <c r="D39" t="str">
        <v>No</v>
      </c>
      <c r="E39" t="str">
        <v>No</v>
      </c>
      <c r="F39">
        <v>0</v>
      </c>
      <c r="G39" t="str">
        <v>HR</v>
      </c>
      <c r="H39">
        <v>0</v>
      </c>
      <c r="I39">
        <v>0</v>
      </c>
      <c r="J39">
        <v>0</v>
      </c>
      <c r="K39" t="str">
        <v>No growth tip</v>
      </c>
    </row>
    <row r="40" spans="1:11" x14ac:dyDescent="0.35">
      <c r="A40">
        <v>232</v>
      </c>
      <c r="B40" t="str">
        <v>No</v>
      </c>
      <c r="C40" t="str">
        <v>No</v>
      </c>
      <c r="D40" t="str">
        <v>No</v>
      </c>
      <c r="E40" t="str">
        <v>No</v>
      </c>
      <c r="F40">
        <v>0</v>
      </c>
      <c r="G40" t="str">
        <v>HR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>
        <v>296</v>
      </c>
      <c r="B41" t="str">
        <v>No</v>
      </c>
      <c r="C41" t="str">
        <v>No</v>
      </c>
      <c r="D41" t="str">
        <v>No</v>
      </c>
      <c r="E41" t="str">
        <v>No</v>
      </c>
      <c r="F41">
        <v>0</v>
      </c>
      <c r="G41" t="str">
        <v>HR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>
        <v>303</v>
      </c>
      <c r="B42" t="str">
        <v>No</v>
      </c>
      <c r="C42" t="str">
        <v>No</v>
      </c>
      <c r="D42" t="str">
        <v>No</v>
      </c>
      <c r="E42" t="str">
        <v>No</v>
      </c>
      <c r="F42">
        <v>0</v>
      </c>
      <c r="G42" t="str">
        <v>HR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>
        <v>305</v>
      </c>
      <c r="B43" t="str">
        <v>No</v>
      </c>
      <c r="C43" t="str">
        <v>No</v>
      </c>
      <c r="D43" t="str">
        <v>No</v>
      </c>
      <c r="E43" t="str">
        <v>No</v>
      </c>
      <c r="F43">
        <v>0</v>
      </c>
      <c r="G43" t="str">
        <v>HR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>
        <v>310</v>
      </c>
      <c r="B44" t="str">
        <v>No</v>
      </c>
      <c r="C44" t="str">
        <v>No</v>
      </c>
      <c r="D44" t="str">
        <v>No</v>
      </c>
      <c r="E44" t="str">
        <v>No</v>
      </c>
      <c r="F44">
        <v>0</v>
      </c>
      <c r="G44" t="str">
        <v>HR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>
        <v>322</v>
      </c>
      <c r="B45" t="str">
        <v>No</v>
      </c>
      <c r="C45" t="str">
        <v>No</v>
      </c>
      <c r="D45" t="str">
        <v>No</v>
      </c>
      <c r="E45" t="str">
        <v>No</v>
      </c>
      <c r="F45">
        <v>0</v>
      </c>
      <c r="G45" t="str">
        <v>HR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>
        <v>323</v>
      </c>
      <c r="B46" t="str">
        <v>No</v>
      </c>
      <c r="C46" t="str">
        <v>No</v>
      </c>
      <c r="D46" t="str">
        <v>No</v>
      </c>
      <c r="E46" t="str">
        <v>No</v>
      </c>
      <c r="F46">
        <v>0</v>
      </c>
      <c r="G46" t="str">
        <v>HR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>
        <v>325</v>
      </c>
      <c r="B47" t="str">
        <v>No</v>
      </c>
      <c r="C47" t="str">
        <v>No</v>
      </c>
      <c r="D47" t="str">
        <v>No</v>
      </c>
      <c r="E47" t="str">
        <v>No</v>
      </c>
      <c r="F47">
        <v>0</v>
      </c>
      <c r="G47" t="str">
        <v>HR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>
        <v>327</v>
      </c>
      <c r="B48" t="str">
        <v>No</v>
      </c>
      <c r="C48" t="str">
        <v>No</v>
      </c>
      <c r="D48" t="str">
        <v>No</v>
      </c>
      <c r="E48" t="str">
        <v>No</v>
      </c>
      <c r="F48">
        <v>0</v>
      </c>
      <c r="G48" t="str">
        <v>HR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>
        <v>328</v>
      </c>
      <c r="B49" t="str">
        <v>No</v>
      </c>
      <c r="C49" t="str">
        <v>No</v>
      </c>
      <c r="D49" t="str">
        <v>No</v>
      </c>
      <c r="E49" t="str">
        <v>No</v>
      </c>
      <c r="F49">
        <v>0</v>
      </c>
      <c r="G49" t="str">
        <v>HR</v>
      </c>
      <c r="H49">
        <v>0</v>
      </c>
      <c r="I49">
        <v>0</v>
      </c>
      <c r="J49">
        <v>0</v>
      </c>
      <c r="K49">
        <v>0</v>
      </c>
    </row>
    <row r="50" spans="1:11" x14ac:dyDescent="0.35">
      <c r="A50">
        <v>330</v>
      </c>
      <c r="B50" t="str">
        <v>No</v>
      </c>
      <c r="C50" t="str">
        <v>No</v>
      </c>
      <c r="D50" t="str">
        <v>No</v>
      </c>
      <c r="E50" t="str">
        <v>No</v>
      </c>
      <c r="F50">
        <v>0</v>
      </c>
      <c r="G50" t="str">
        <v>HR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>
        <v>342</v>
      </c>
      <c r="B51" t="str">
        <v>No</v>
      </c>
      <c r="C51" t="str">
        <v>No</v>
      </c>
      <c r="D51" t="str">
        <v>No</v>
      </c>
      <c r="E51" t="str">
        <v>No</v>
      </c>
      <c r="F51">
        <v>0</v>
      </c>
      <c r="G51" t="str">
        <v>HR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345</v>
      </c>
      <c r="B52" t="str">
        <v>No</v>
      </c>
      <c r="C52" t="str">
        <v>No</v>
      </c>
      <c r="D52" t="str">
        <v>No</v>
      </c>
      <c r="E52" t="str">
        <v>No</v>
      </c>
      <c r="F52">
        <v>0</v>
      </c>
      <c r="G52" t="str">
        <v>HR</v>
      </c>
      <c r="H52">
        <v>0</v>
      </c>
      <c r="I52">
        <v>0</v>
      </c>
      <c r="J52">
        <v>0</v>
      </c>
      <c r="K52">
        <v>0</v>
      </c>
    </row>
    <row r="53" spans="1:11" x14ac:dyDescent="0.35">
      <c r="A53">
        <v>346</v>
      </c>
      <c r="B53" t="str">
        <v>No</v>
      </c>
      <c r="C53" t="str">
        <v>No</v>
      </c>
      <c r="D53" t="str">
        <v>No</v>
      </c>
      <c r="E53" t="str">
        <v>No</v>
      </c>
      <c r="F53">
        <v>0</v>
      </c>
      <c r="G53" t="str">
        <v>HR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>
        <v>362</v>
      </c>
      <c r="B54" t="str">
        <v>No</v>
      </c>
      <c r="C54" t="str">
        <v>No</v>
      </c>
      <c r="D54" t="str">
        <v>No</v>
      </c>
      <c r="E54" t="str">
        <v>No</v>
      </c>
      <c r="F54">
        <v>0</v>
      </c>
      <c r="G54" t="str">
        <v>HR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>
        <v>365</v>
      </c>
      <c r="B55" t="str">
        <v>No</v>
      </c>
      <c r="C55" t="str">
        <v>No</v>
      </c>
      <c r="D55" t="str">
        <v>No</v>
      </c>
      <c r="E55" t="str">
        <v>No</v>
      </c>
      <c r="F55">
        <v>0</v>
      </c>
      <c r="G55" t="str">
        <v>HR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>
        <v>370</v>
      </c>
      <c r="B56" t="str">
        <v>No</v>
      </c>
      <c r="C56" t="str">
        <v>No</v>
      </c>
      <c r="D56" t="str">
        <v>No</v>
      </c>
      <c r="E56" t="str">
        <v>No</v>
      </c>
      <c r="F56">
        <v>0</v>
      </c>
      <c r="G56" t="str">
        <v>HR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>
        <v>376</v>
      </c>
      <c r="B57" t="str">
        <v>No</v>
      </c>
      <c r="C57" t="str">
        <v>No</v>
      </c>
      <c r="D57" t="str">
        <v>No</v>
      </c>
      <c r="E57" t="str">
        <v>No</v>
      </c>
      <c r="F57">
        <v>0</v>
      </c>
      <c r="G57" t="str">
        <v>HR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>
        <v>384</v>
      </c>
      <c r="B58" t="str">
        <v>No</v>
      </c>
      <c r="C58" t="str">
        <v>No</v>
      </c>
      <c r="D58" t="str">
        <v>No</v>
      </c>
      <c r="E58" t="str">
        <v>No</v>
      </c>
      <c r="F58">
        <v>0</v>
      </c>
      <c r="G58" t="str">
        <v>HR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>
        <v>421</v>
      </c>
      <c r="B59" t="str">
        <v>No</v>
      </c>
      <c r="C59" t="str">
        <v>No</v>
      </c>
      <c r="D59" t="str">
        <v>No</v>
      </c>
      <c r="E59" t="str">
        <v>No</v>
      </c>
      <c r="F59">
        <v>0</v>
      </c>
      <c r="G59" t="str">
        <v>HR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>
        <v>457</v>
      </c>
      <c r="B60" t="str">
        <v>No</v>
      </c>
      <c r="C60" t="str">
        <v>No</v>
      </c>
      <c r="D60" t="str">
        <v>No</v>
      </c>
      <c r="E60" t="str">
        <v>No</v>
      </c>
      <c r="F60">
        <v>0</v>
      </c>
      <c r="G60" t="str">
        <v>HR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>
        <v>472</v>
      </c>
      <c r="B61" t="str">
        <v>No</v>
      </c>
      <c r="C61" t="str">
        <v>No</v>
      </c>
      <c r="D61" t="str">
        <v>No</v>
      </c>
      <c r="E61" t="str">
        <v>No</v>
      </c>
      <c r="F61">
        <v>0</v>
      </c>
      <c r="G61" t="str">
        <v>HR</v>
      </c>
      <c r="H61">
        <v>0</v>
      </c>
      <c r="I61">
        <v>0</v>
      </c>
      <c r="J61">
        <v>0</v>
      </c>
      <c r="K61">
        <v>0</v>
      </c>
    </row>
    <row r="62" spans="1:11" x14ac:dyDescent="0.35">
      <c r="A62">
        <v>473</v>
      </c>
      <c r="B62" t="str">
        <v>No</v>
      </c>
      <c r="C62" t="str">
        <v>No</v>
      </c>
      <c r="D62" t="str">
        <v>No</v>
      </c>
      <c r="E62" t="str">
        <v>No</v>
      </c>
      <c r="F62">
        <v>0</v>
      </c>
      <c r="G62" t="str">
        <v>HR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>
        <v>474</v>
      </c>
      <c r="B63" t="str">
        <v>No</v>
      </c>
      <c r="C63" t="str">
        <v>No</v>
      </c>
      <c r="D63" t="str">
        <v>No</v>
      </c>
      <c r="E63" t="str">
        <v>No</v>
      </c>
      <c r="F63">
        <v>0</v>
      </c>
      <c r="G63" t="str">
        <v>HR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>
        <v>476</v>
      </c>
      <c r="B64" t="str">
        <v>No</v>
      </c>
      <c r="C64" t="str">
        <v>No</v>
      </c>
      <c r="D64" t="str">
        <v>No</v>
      </c>
      <c r="E64" t="str">
        <v>No</v>
      </c>
      <c r="F64">
        <v>0</v>
      </c>
      <c r="G64" t="str">
        <v>HR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>
        <v>477</v>
      </c>
      <c r="B65" t="str">
        <v>No</v>
      </c>
      <c r="C65" t="str">
        <v>No</v>
      </c>
      <c r="D65" t="str">
        <v>No</v>
      </c>
      <c r="E65" t="str">
        <v>No</v>
      </c>
      <c r="F65">
        <v>0</v>
      </c>
      <c r="G65" t="str">
        <v>HR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>
        <v>479</v>
      </c>
      <c r="B66" t="str">
        <v>No</v>
      </c>
      <c r="C66" t="str">
        <v>No</v>
      </c>
      <c r="D66" t="str">
        <v>No</v>
      </c>
      <c r="E66" t="str">
        <v>No</v>
      </c>
      <c r="F66">
        <v>0</v>
      </c>
      <c r="G66" t="str">
        <v>HR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>
        <v>491</v>
      </c>
      <c r="B67" t="str">
        <v>No</v>
      </c>
      <c r="C67" t="str">
        <v>No</v>
      </c>
      <c r="D67" t="str">
        <v>No</v>
      </c>
      <c r="E67" t="str">
        <v>No</v>
      </c>
      <c r="F67">
        <v>0</v>
      </c>
      <c r="G67" t="str">
        <v>HR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>
        <v>495</v>
      </c>
      <c r="B68" t="str">
        <v>No</v>
      </c>
      <c r="C68" t="str">
        <v>No</v>
      </c>
      <c r="D68" t="str">
        <v>No</v>
      </c>
      <c r="E68" t="str">
        <v>No</v>
      </c>
      <c r="F68">
        <v>0</v>
      </c>
      <c r="G68" t="str">
        <v>HR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>
        <v>496</v>
      </c>
      <c r="B69" t="str">
        <v>No</v>
      </c>
      <c r="C69" t="str">
        <v>No</v>
      </c>
      <c r="D69" t="str">
        <v>No</v>
      </c>
      <c r="E69" t="str">
        <v>No</v>
      </c>
      <c r="F69">
        <v>0</v>
      </c>
      <c r="G69" t="str">
        <v>HR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>
        <v>499</v>
      </c>
      <c r="B70" t="str">
        <v>No</v>
      </c>
      <c r="C70" t="str">
        <v>No</v>
      </c>
      <c r="D70" t="str">
        <v>No</v>
      </c>
      <c r="E70" t="str">
        <v>No</v>
      </c>
      <c r="F70">
        <v>0</v>
      </c>
      <c r="G70" t="str">
        <v>HR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>
        <v>500</v>
      </c>
      <c r="B71" t="str">
        <v>No</v>
      </c>
      <c r="C71" t="str">
        <v>No</v>
      </c>
      <c r="D71" t="str">
        <v>No</v>
      </c>
      <c r="E71" t="str">
        <v>No</v>
      </c>
      <c r="F71">
        <v>0</v>
      </c>
      <c r="G71" t="str">
        <v>HR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>
        <v>511</v>
      </c>
      <c r="B72" t="str">
        <v>No</v>
      </c>
      <c r="C72" t="str">
        <v>No</v>
      </c>
      <c r="D72" t="str">
        <v>No</v>
      </c>
      <c r="E72" t="str">
        <v>No</v>
      </c>
      <c r="F72">
        <v>0</v>
      </c>
      <c r="G72" t="str">
        <v>HR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>
        <v>515</v>
      </c>
      <c r="B73" t="str">
        <v>No</v>
      </c>
      <c r="C73" t="str">
        <v>No</v>
      </c>
      <c r="D73" t="str">
        <v>No</v>
      </c>
      <c r="E73" t="str">
        <v>No</v>
      </c>
      <c r="F73">
        <v>0</v>
      </c>
      <c r="G73" t="str">
        <v>HR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>
        <v>517</v>
      </c>
      <c r="B74" t="str">
        <v>No</v>
      </c>
      <c r="C74" t="str">
        <v>No</v>
      </c>
      <c r="D74" t="str">
        <v>No</v>
      </c>
      <c r="E74" t="str">
        <v>No</v>
      </c>
      <c r="F74">
        <v>0</v>
      </c>
      <c r="G74" t="str">
        <v>HR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>
        <v>520</v>
      </c>
      <c r="B75" t="str">
        <v>No</v>
      </c>
      <c r="C75" t="str">
        <v>No</v>
      </c>
      <c r="D75" t="str">
        <v>No</v>
      </c>
      <c r="E75" t="str">
        <v>No</v>
      </c>
      <c r="F75">
        <v>0</v>
      </c>
      <c r="G75" t="str">
        <v>HR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>
        <v>524</v>
      </c>
      <c r="B76" t="str">
        <v>No</v>
      </c>
      <c r="C76" t="str">
        <v>No</v>
      </c>
      <c r="D76" t="str">
        <v>No</v>
      </c>
      <c r="E76" t="str">
        <v>No</v>
      </c>
      <c r="F76">
        <v>0</v>
      </c>
      <c r="G76" t="str">
        <v>HR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>
        <v>526</v>
      </c>
      <c r="B77" t="str">
        <v>No</v>
      </c>
      <c r="C77" t="str">
        <v>No</v>
      </c>
      <c r="D77" t="str">
        <v>No</v>
      </c>
      <c r="E77" t="str">
        <v>No</v>
      </c>
      <c r="F77">
        <v>0</v>
      </c>
      <c r="G77" t="str">
        <v>HR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>
        <v>528</v>
      </c>
      <c r="B78" t="str">
        <v>No</v>
      </c>
      <c r="C78" t="str">
        <v>No</v>
      </c>
      <c r="D78" t="str">
        <v>No</v>
      </c>
      <c r="E78" t="str">
        <v>No</v>
      </c>
      <c r="F78">
        <v>0</v>
      </c>
      <c r="G78" t="str">
        <v>HR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529</v>
      </c>
      <c r="B79" t="str">
        <v>No</v>
      </c>
      <c r="C79" t="str">
        <v>No</v>
      </c>
      <c r="D79" t="str">
        <v>No</v>
      </c>
      <c r="E79" t="str">
        <v>No</v>
      </c>
      <c r="F79">
        <v>0</v>
      </c>
      <c r="G79" t="str">
        <v>HR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>
        <v>532</v>
      </c>
      <c r="B80" t="str">
        <v>No</v>
      </c>
      <c r="C80" t="str">
        <v>No</v>
      </c>
      <c r="D80" t="str">
        <v>No</v>
      </c>
      <c r="E80" t="str">
        <v>No</v>
      </c>
      <c r="F80">
        <v>0</v>
      </c>
      <c r="G80" t="str">
        <v>HR</v>
      </c>
      <c r="H80">
        <v>0</v>
      </c>
      <c r="I80">
        <v>0</v>
      </c>
      <c r="J80">
        <v>0</v>
      </c>
      <c r="K80">
        <v>0</v>
      </c>
    </row>
    <row r="81" spans="1:11" x14ac:dyDescent="0.35">
      <c r="A81">
        <v>535</v>
      </c>
      <c r="B81" t="str">
        <v>No</v>
      </c>
      <c r="C81" t="str">
        <v>No</v>
      </c>
      <c r="D81" t="str">
        <v>No</v>
      </c>
      <c r="E81" t="str">
        <v>No</v>
      </c>
      <c r="F81">
        <v>0</v>
      </c>
      <c r="G81" t="str">
        <v>HR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>
        <v>546</v>
      </c>
      <c r="B82" t="str">
        <v>No</v>
      </c>
      <c r="C82" t="str">
        <v>No</v>
      </c>
      <c r="D82" t="str">
        <v>No</v>
      </c>
      <c r="E82" t="str">
        <v>No</v>
      </c>
      <c r="F82">
        <v>0</v>
      </c>
      <c r="G82" t="str">
        <v>HR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>
        <v>547</v>
      </c>
      <c r="B83" t="str">
        <v>No</v>
      </c>
      <c r="C83" t="str">
        <v>No</v>
      </c>
      <c r="D83" t="str">
        <v>No</v>
      </c>
      <c r="E83" t="str">
        <v>No</v>
      </c>
      <c r="F83">
        <v>0</v>
      </c>
      <c r="G83" t="str">
        <v>HR</v>
      </c>
      <c r="H83">
        <v>0</v>
      </c>
      <c r="I83">
        <v>0</v>
      </c>
      <c r="J83">
        <v>0</v>
      </c>
      <c r="K83">
        <v>0</v>
      </c>
    </row>
    <row r="84" spans="1:11" x14ac:dyDescent="0.35">
      <c r="A84">
        <v>548</v>
      </c>
      <c r="B84" t="str">
        <v>No</v>
      </c>
      <c r="C84" t="str">
        <v>No</v>
      </c>
      <c r="D84" t="str">
        <v>No</v>
      </c>
      <c r="E84" t="str">
        <v>No</v>
      </c>
      <c r="F84">
        <v>0</v>
      </c>
      <c r="G84" t="str">
        <v>HR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>
        <v>549</v>
      </c>
      <c r="B85" t="str">
        <v>No</v>
      </c>
      <c r="C85" t="str">
        <v>No</v>
      </c>
      <c r="D85" t="str">
        <v>No</v>
      </c>
      <c r="E85" t="str">
        <v>No</v>
      </c>
      <c r="F85">
        <v>0</v>
      </c>
      <c r="G85" t="str">
        <v>HR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>
        <v>550</v>
      </c>
      <c r="B86" t="str">
        <v>No</v>
      </c>
      <c r="C86" t="str">
        <v>No</v>
      </c>
      <c r="D86" t="str">
        <v>No</v>
      </c>
      <c r="E86" t="str">
        <v>No</v>
      </c>
      <c r="F86">
        <v>0</v>
      </c>
      <c r="G86" t="str">
        <v>HR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>
        <v>551</v>
      </c>
      <c r="B87" t="str">
        <v>No</v>
      </c>
      <c r="C87" t="str">
        <v>No</v>
      </c>
      <c r="D87" t="str">
        <v>No</v>
      </c>
      <c r="E87" t="str">
        <v>No</v>
      </c>
      <c r="F87">
        <v>0</v>
      </c>
      <c r="G87" t="str">
        <v>HR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>
        <v>552</v>
      </c>
      <c r="B88" t="str">
        <v>No</v>
      </c>
      <c r="C88" t="str">
        <v>No</v>
      </c>
      <c r="D88" t="str">
        <v>No</v>
      </c>
      <c r="E88" t="str">
        <v>No</v>
      </c>
      <c r="F88">
        <v>0</v>
      </c>
      <c r="G88" t="str">
        <v>HR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>
        <v>553</v>
      </c>
      <c r="B89" t="str">
        <v>No</v>
      </c>
      <c r="C89" t="str">
        <v>No</v>
      </c>
      <c r="D89" t="str">
        <v>No</v>
      </c>
      <c r="E89" t="str">
        <v>No</v>
      </c>
      <c r="F89">
        <v>0</v>
      </c>
      <c r="G89" t="str">
        <v>HR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>
        <v>554</v>
      </c>
      <c r="B90" t="str">
        <v>No</v>
      </c>
      <c r="C90" t="str">
        <v>No</v>
      </c>
      <c r="D90" t="str">
        <v>No</v>
      </c>
      <c r="E90" t="str">
        <v>No</v>
      </c>
      <c r="F90">
        <v>0</v>
      </c>
      <c r="G90" t="str">
        <v>HR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>
        <v>555</v>
      </c>
      <c r="B91" t="str">
        <v>No</v>
      </c>
      <c r="C91" t="str">
        <v>No</v>
      </c>
      <c r="D91" t="str">
        <v>No</v>
      </c>
      <c r="E91" t="str">
        <v>No</v>
      </c>
      <c r="F91">
        <v>0</v>
      </c>
      <c r="G91" t="str">
        <v>HR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>
        <v>566</v>
      </c>
      <c r="B92" t="str">
        <v>No</v>
      </c>
      <c r="C92" t="str">
        <v>Yes</v>
      </c>
      <c r="D92" t="str">
        <v>No</v>
      </c>
      <c r="E92" t="str">
        <v>Restricted</v>
      </c>
      <c r="F92">
        <v>0</v>
      </c>
      <c r="G92" t="str">
        <v>HR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>
        <v>568</v>
      </c>
      <c r="B93" t="str">
        <v>No</v>
      </c>
      <c r="C93" t="str">
        <v>No</v>
      </c>
      <c r="D93" t="str">
        <v>No</v>
      </c>
      <c r="E93" t="str">
        <v>No</v>
      </c>
      <c r="F93">
        <v>0</v>
      </c>
      <c r="G93" t="str">
        <v>HR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>
        <v>571</v>
      </c>
      <c r="B94" t="str">
        <v>No</v>
      </c>
      <c r="C94" t="str">
        <v>No</v>
      </c>
      <c r="D94" t="str">
        <v>No</v>
      </c>
      <c r="E94" t="str">
        <v>No</v>
      </c>
      <c r="F94">
        <v>0</v>
      </c>
      <c r="G94" t="str">
        <v>HR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>
        <v>575</v>
      </c>
      <c r="B95" t="str">
        <v>No</v>
      </c>
      <c r="C95" t="str">
        <v>No</v>
      </c>
      <c r="D95" t="str">
        <v>No</v>
      </c>
      <c r="E95" t="str">
        <v>No</v>
      </c>
      <c r="F95">
        <v>0</v>
      </c>
      <c r="G95" t="str">
        <v>HR</v>
      </c>
      <c r="H95">
        <v>0</v>
      </c>
      <c r="I95">
        <v>0</v>
      </c>
      <c r="J95">
        <v>0</v>
      </c>
      <c r="K95">
        <v>0</v>
      </c>
    </row>
    <row r="96" spans="1:11" x14ac:dyDescent="0.35">
      <c r="A96">
        <v>587</v>
      </c>
      <c r="B96" t="str">
        <v>No</v>
      </c>
      <c r="C96" t="str">
        <v>No</v>
      </c>
      <c r="D96" t="str">
        <v>No</v>
      </c>
      <c r="E96" t="str">
        <v>No</v>
      </c>
      <c r="F96">
        <v>0</v>
      </c>
      <c r="G96" t="str">
        <v>HR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>
        <v>607</v>
      </c>
      <c r="B97" t="str">
        <v>No</v>
      </c>
      <c r="C97" t="str">
        <v>No</v>
      </c>
      <c r="D97" t="str">
        <v>No</v>
      </c>
      <c r="E97" t="str">
        <v>No</v>
      </c>
      <c r="F97">
        <v>0</v>
      </c>
      <c r="G97" t="str">
        <v>HR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>
        <v>622</v>
      </c>
      <c r="B98" t="str">
        <v>No</v>
      </c>
      <c r="C98" t="str">
        <v>No</v>
      </c>
      <c r="D98" t="str">
        <v>No</v>
      </c>
      <c r="E98" t="str">
        <v>No</v>
      </c>
      <c r="F98">
        <v>0</v>
      </c>
      <c r="G98" t="str">
        <v>HR</v>
      </c>
      <c r="H98">
        <v>0</v>
      </c>
      <c r="I98">
        <v>0</v>
      </c>
      <c r="J98">
        <v>0</v>
      </c>
      <c r="K98">
        <v>0</v>
      </c>
    </row>
    <row r="99" spans="1:11" x14ac:dyDescent="0.35">
      <c r="A99">
        <v>623</v>
      </c>
      <c r="B99" t="str">
        <v>No</v>
      </c>
      <c r="C99" t="str">
        <v>No</v>
      </c>
      <c r="D99" t="str">
        <v>No</v>
      </c>
      <c r="E99" t="str">
        <v>No</v>
      </c>
      <c r="F99">
        <v>0</v>
      </c>
      <c r="G99" t="str">
        <v>HR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>
        <v>624</v>
      </c>
      <c r="B100" t="str">
        <v>No</v>
      </c>
      <c r="C100" t="str">
        <v>No</v>
      </c>
      <c r="D100" t="str">
        <v>No</v>
      </c>
      <c r="E100" t="str">
        <v>No</v>
      </c>
      <c r="F100">
        <v>0</v>
      </c>
      <c r="G100" t="str">
        <v>HR</v>
      </c>
      <c r="H100">
        <v>0</v>
      </c>
      <c r="I100">
        <v>0</v>
      </c>
      <c r="J100">
        <v>0</v>
      </c>
      <c r="K100">
        <v>0</v>
      </c>
    </row>
    <row r="101" spans="1:11" x14ac:dyDescent="0.35">
      <c r="A101">
        <v>628</v>
      </c>
      <c r="B101" t="str">
        <v>No</v>
      </c>
      <c r="C101" t="str">
        <v>No</v>
      </c>
      <c r="D101" t="str">
        <v>No</v>
      </c>
      <c r="E101" t="str">
        <v>No</v>
      </c>
      <c r="F101">
        <v>0</v>
      </c>
      <c r="G101" t="str">
        <v>HR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>
        <v>629</v>
      </c>
      <c r="B102" t="str">
        <v>No</v>
      </c>
      <c r="C102" t="str">
        <v>No</v>
      </c>
      <c r="D102" t="str">
        <v>No</v>
      </c>
      <c r="E102" t="str">
        <v>No</v>
      </c>
      <c r="F102">
        <v>0</v>
      </c>
      <c r="G102" t="str">
        <v>HR</v>
      </c>
      <c r="H102">
        <v>0</v>
      </c>
      <c r="I102">
        <v>0</v>
      </c>
      <c r="J102">
        <v>0</v>
      </c>
      <c r="K102">
        <v>0</v>
      </c>
    </row>
    <row r="103" spans="1:11" x14ac:dyDescent="0.35">
      <c r="A103">
        <v>666</v>
      </c>
      <c r="B103" t="str">
        <v>No</v>
      </c>
      <c r="C103" t="str">
        <v>No</v>
      </c>
      <c r="D103" t="str">
        <v>No</v>
      </c>
      <c r="E103" t="str">
        <v>No</v>
      </c>
      <c r="F103">
        <v>0</v>
      </c>
      <c r="G103" t="str">
        <v>HR</v>
      </c>
      <c r="H103">
        <v>0</v>
      </c>
      <c r="I103">
        <v>0</v>
      </c>
      <c r="J103">
        <v>0</v>
      </c>
      <c r="K103">
        <v>0</v>
      </c>
    </row>
    <row r="104" spans="1:11" x14ac:dyDescent="0.35">
      <c r="A104">
        <v>676</v>
      </c>
      <c r="B104" t="str">
        <v>No</v>
      </c>
      <c r="C104" t="str">
        <v>No</v>
      </c>
      <c r="D104" t="str">
        <v>No</v>
      </c>
      <c r="E104" t="str">
        <v>No</v>
      </c>
      <c r="F104">
        <v>0</v>
      </c>
      <c r="G104" t="str">
        <v>HR</v>
      </c>
      <c r="H104">
        <v>0</v>
      </c>
      <c r="I104">
        <v>0</v>
      </c>
      <c r="J104">
        <v>0</v>
      </c>
      <c r="K104">
        <v>0</v>
      </c>
    </row>
    <row r="105" spans="1:11" x14ac:dyDescent="0.35">
      <c r="A105">
        <v>677</v>
      </c>
      <c r="B105" t="str">
        <v>No</v>
      </c>
      <c r="C105" t="str">
        <v>No</v>
      </c>
      <c r="D105" t="str">
        <v>No</v>
      </c>
      <c r="E105" t="str">
        <v>No</v>
      </c>
      <c r="F105">
        <v>0</v>
      </c>
      <c r="G105" t="str">
        <v>HR</v>
      </c>
      <c r="H105">
        <v>0</v>
      </c>
      <c r="I105">
        <v>0</v>
      </c>
      <c r="J105">
        <v>0</v>
      </c>
      <c r="K105">
        <v>0</v>
      </c>
    </row>
    <row r="106" spans="1:11" x14ac:dyDescent="0.35">
      <c r="A106">
        <v>678</v>
      </c>
      <c r="B106" t="str">
        <v>No</v>
      </c>
      <c r="C106" t="str">
        <v>No</v>
      </c>
      <c r="D106" t="str">
        <v>No</v>
      </c>
      <c r="E106" t="str">
        <v>No</v>
      </c>
      <c r="F106">
        <v>0</v>
      </c>
      <c r="G106" t="str">
        <v>HR</v>
      </c>
      <c r="H106">
        <v>0</v>
      </c>
      <c r="I106">
        <v>0</v>
      </c>
      <c r="J106">
        <v>0</v>
      </c>
      <c r="K106">
        <v>0</v>
      </c>
    </row>
    <row r="107" spans="1:11" x14ac:dyDescent="0.35">
      <c r="A107">
        <v>680</v>
      </c>
      <c r="B107" t="str">
        <v>No</v>
      </c>
      <c r="C107" t="str">
        <v>No</v>
      </c>
      <c r="D107" t="str">
        <v>No</v>
      </c>
      <c r="E107" t="str">
        <v>No</v>
      </c>
      <c r="F107">
        <v>0</v>
      </c>
      <c r="G107" t="str">
        <v>HR</v>
      </c>
      <c r="H107">
        <v>0</v>
      </c>
      <c r="I107">
        <v>0</v>
      </c>
      <c r="J107">
        <v>0</v>
      </c>
      <c r="K107">
        <v>0</v>
      </c>
    </row>
    <row r="108" spans="1:11" x14ac:dyDescent="0.35">
      <c r="A108">
        <v>681</v>
      </c>
      <c r="B108" t="str">
        <v>No</v>
      </c>
      <c r="C108" t="str">
        <v>No</v>
      </c>
      <c r="D108" t="str">
        <v>No</v>
      </c>
      <c r="E108" t="str">
        <v>No</v>
      </c>
      <c r="F108">
        <v>0</v>
      </c>
      <c r="G108" t="str">
        <v>HR</v>
      </c>
      <c r="H108">
        <v>0</v>
      </c>
      <c r="I108">
        <v>0</v>
      </c>
      <c r="J108">
        <v>0</v>
      </c>
      <c r="K108">
        <v>0</v>
      </c>
    </row>
    <row r="109" spans="1:11" x14ac:dyDescent="0.35">
      <c r="A109">
        <v>682</v>
      </c>
      <c r="B109" t="str">
        <v>No</v>
      </c>
      <c r="C109" t="str">
        <v>No</v>
      </c>
      <c r="D109" t="str">
        <v>No</v>
      </c>
      <c r="E109" t="str">
        <v>No</v>
      </c>
      <c r="F109">
        <v>0</v>
      </c>
      <c r="G109" t="str">
        <v>HR</v>
      </c>
      <c r="H109">
        <v>0</v>
      </c>
      <c r="I109">
        <v>0</v>
      </c>
      <c r="J109">
        <v>0</v>
      </c>
      <c r="K109">
        <v>0</v>
      </c>
    </row>
    <row r="110" spans="1:11" x14ac:dyDescent="0.35">
      <c r="A110">
        <v>683</v>
      </c>
      <c r="B110" t="str">
        <v>No</v>
      </c>
      <c r="C110" t="str">
        <v>No</v>
      </c>
      <c r="D110" t="str">
        <v>No</v>
      </c>
      <c r="E110" t="str">
        <v>No</v>
      </c>
      <c r="F110">
        <v>0</v>
      </c>
      <c r="G110" t="str">
        <v>HR</v>
      </c>
      <c r="H110">
        <v>0</v>
      </c>
      <c r="I110">
        <v>0</v>
      </c>
      <c r="J110">
        <v>0</v>
      </c>
      <c r="K110">
        <v>0</v>
      </c>
    </row>
    <row r="111" spans="1:11" x14ac:dyDescent="0.35">
      <c r="A111">
        <v>684</v>
      </c>
      <c r="B111" t="str">
        <v>No</v>
      </c>
      <c r="C111" t="str">
        <v>No</v>
      </c>
      <c r="D111" t="str">
        <v>No</v>
      </c>
      <c r="E111" t="str">
        <v>No</v>
      </c>
      <c r="F111">
        <v>0</v>
      </c>
      <c r="G111" t="str">
        <v>HR</v>
      </c>
      <c r="H111">
        <v>0</v>
      </c>
      <c r="I111">
        <v>0</v>
      </c>
      <c r="J111">
        <v>0</v>
      </c>
      <c r="K111">
        <v>0</v>
      </c>
    </row>
    <row r="112" spans="1:11" x14ac:dyDescent="0.35">
      <c r="A112">
        <v>685</v>
      </c>
      <c r="B112" t="str">
        <v>No</v>
      </c>
      <c r="C112" t="str">
        <v>No</v>
      </c>
      <c r="D112" t="str">
        <v>No</v>
      </c>
      <c r="E112" t="str">
        <v>No</v>
      </c>
      <c r="F112">
        <v>0</v>
      </c>
      <c r="G112" t="str">
        <v>HR</v>
      </c>
      <c r="H112">
        <v>0</v>
      </c>
      <c r="I112">
        <v>0</v>
      </c>
      <c r="J112">
        <v>0</v>
      </c>
      <c r="K112">
        <v>0</v>
      </c>
    </row>
    <row r="113" spans="1:11" x14ac:dyDescent="0.35">
      <c r="A113">
        <v>701</v>
      </c>
      <c r="B113" t="str">
        <v>No</v>
      </c>
      <c r="C113" t="str">
        <v>No</v>
      </c>
      <c r="D113" t="str">
        <v>No</v>
      </c>
      <c r="E113" t="str">
        <v>No</v>
      </c>
      <c r="F113">
        <v>0</v>
      </c>
      <c r="G113" t="str">
        <v>HR</v>
      </c>
      <c r="H113">
        <v>0</v>
      </c>
      <c r="I113">
        <v>0</v>
      </c>
      <c r="J113">
        <v>0</v>
      </c>
      <c r="K113">
        <v>0</v>
      </c>
    </row>
    <row r="114" spans="1:11" x14ac:dyDescent="0.35">
      <c r="A114">
        <v>703</v>
      </c>
      <c r="B114" t="str">
        <v>No</v>
      </c>
      <c r="C114" t="str">
        <v>No</v>
      </c>
      <c r="D114" t="str">
        <v>No</v>
      </c>
      <c r="E114" t="str">
        <v>No</v>
      </c>
      <c r="F114">
        <v>0</v>
      </c>
      <c r="G114" t="str">
        <v>HR</v>
      </c>
      <c r="H114">
        <v>0</v>
      </c>
      <c r="I114">
        <v>0</v>
      </c>
      <c r="J114">
        <v>0</v>
      </c>
      <c r="K114">
        <v>0</v>
      </c>
    </row>
    <row r="115" spans="1:11" x14ac:dyDescent="0.35">
      <c r="A115">
        <v>704</v>
      </c>
      <c r="B115" t="str">
        <v>No</v>
      </c>
      <c r="C115" t="str">
        <v>No</v>
      </c>
      <c r="D115" t="str">
        <v>No</v>
      </c>
      <c r="E115" t="str">
        <v>No</v>
      </c>
      <c r="F115">
        <v>0</v>
      </c>
      <c r="G115" t="str">
        <v>HR</v>
      </c>
      <c r="H115">
        <v>0</v>
      </c>
      <c r="I115">
        <v>0</v>
      </c>
      <c r="J115">
        <v>0</v>
      </c>
      <c r="K115">
        <v>0</v>
      </c>
    </row>
    <row r="116" spans="1:11" x14ac:dyDescent="0.35">
      <c r="A116">
        <v>705</v>
      </c>
      <c r="B116" t="str">
        <v>No</v>
      </c>
      <c r="C116" t="str">
        <v>No</v>
      </c>
      <c r="D116" t="str">
        <v>No</v>
      </c>
      <c r="E116" t="str">
        <v>No</v>
      </c>
      <c r="F116">
        <v>0</v>
      </c>
      <c r="G116" t="str">
        <v>HR</v>
      </c>
      <c r="H116">
        <v>0</v>
      </c>
      <c r="I116">
        <v>0</v>
      </c>
      <c r="J116">
        <v>0</v>
      </c>
      <c r="K116">
        <v>0</v>
      </c>
    </row>
    <row r="117" spans="1:11" x14ac:dyDescent="0.35">
      <c r="A117">
        <v>716</v>
      </c>
      <c r="B117" t="str">
        <v>No</v>
      </c>
      <c r="C117" t="str">
        <v>No</v>
      </c>
      <c r="D117" t="str">
        <v>No</v>
      </c>
      <c r="E117" t="str">
        <v>No</v>
      </c>
      <c r="F117">
        <v>0</v>
      </c>
      <c r="G117" t="str">
        <v>HR</v>
      </c>
      <c r="H117">
        <v>0</v>
      </c>
      <c r="I117">
        <v>0</v>
      </c>
      <c r="J117">
        <v>0</v>
      </c>
      <c r="K117">
        <v>0</v>
      </c>
    </row>
    <row r="118" spans="1:11" x14ac:dyDescent="0.35">
      <c r="A118">
        <v>717</v>
      </c>
      <c r="B118" t="str">
        <v>No</v>
      </c>
      <c r="C118" t="str">
        <v>No</v>
      </c>
      <c r="D118" t="str">
        <v>No</v>
      </c>
      <c r="E118" t="str">
        <v>No</v>
      </c>
      <c r="F118">
        <v>0</v>
      </c>
      <c r="G118" t="str">
        <v>HR</v>
      </c>
      <c r="H118">
        <v>0</v>
      </c>
      <c r="I118">
        <v>0</v>
      </c>
      <c r="J118">
        <v>0</v>
      </c>
      <c r="K118">
        <v>0</v>
      </c>
    </row>
    <row r="119" spans="1:11" x14ac:dyDescent="0.35">
      <c r="A119">
        <v>721</v>
      </c>
      <c r="B119" t="str">
        <v>No</v>
      </c>
      <c r="C119" t="str">
        <v>No</v>
      </c>
      <c r="D119" t="str">
        <v>No</v>
      </c>
      <c r="E119" t="str">
        <v>No</v>
      </c>
      <c r="F119">
        <v>0</v>
      </c>
      <c r="G119" t="str">
        <v>HR</v>
      </c>
      <c r="H119">
        <v>0</v>
      </c>
      <c r="I119">
        <v>0</v>
      </c>
      <c r="J119">
        <v>0</v>
      </c>
      <c r="K119">
        <v>0</v>
      </c>
    </row>
    <row r="120" spans="1:11" x14ac:dyDescent="0.35">
      <c r="A120">
        <v>737</v>
      </c>
      <c r="B120" t="str">
        <v>No</v>
      </c>
      <c r="C120" t="str">
        <v>No</v>
      </c>
      <c r="D120" t="str">
        <v>No</v>
      </c>
      <c r="E120" t="str">
        <v>No</v>
      </c>
      <c r="F120">
        <v>0</v>
      </c>
      <c r="G120" t="str">
        <v>HR</v>
      </c>
      <c r="H120">
        <v>0</v>
      </c>
      <c r="I120">
        <v>0</v>
      </c>
      <c r="J120">
        <v>0</v>
      </c>
      <c r="K120">
        <v>0</v>
      </c>
    </row>
    <row r="121" spans="1:11" x14ac:dyDescent="0.35">
      <c r="A121">
        <v>739</v>
      </c>
      <c r="B121" t="str">
        <v>No</v>
      </c>
      <c r="C121" t="str">
        <v>No</v>
      </c>
      <c r="D121" t="str">
        <v>No</v>
      </c>
      <c r="E121" t="str">
        <v>No</v>
      </c>
      <c r="F121">
        <v>0</v>
      </c>
      <c r="G121" t="str">
        <v>HR</v>
      </c>
      <c r="H121">
        <v>0</v>
      </c>
      <c r="I121">
        <v>0</v>
      </c>
      <c r="J121">
        <v>0</v>
      </c>
      <c r="K121">
        <v>0</v>
      </c>
    </row>
    <row r="122" spans="1:11" x14ac:dyDescent="0.35">
      <c r="A122">
        <v>81</v>
      </c>
      <c r="B122" t="str">
        <v>No</v>
      </c>
      <c r="C122" t="str">
        <v>Yes</v>
      </c>
      <c r="D122" t="str">
        <v>No</v>
      </c>
      <c r="E122" t="str">
        <v>Unrestricted</v>
      </c>
      <c r="F122">
        <v>70</v>
      </c>
      <c r="G122" t="str">
        <v>HS</v>
      </c>
      <c r="H122">
        <v>70</v>
      </c>
      <c r="I122">
        <v>1</v>
      </c>
      <c r="J122">
        <v>1</v>
      </c>
      <c r="K122" t="str">
        <v>Multi unrestricted colonies. On branch.</v>
      </c>
    </row>
    <row r="123" spans="1:11" x14ac:dyDescent="0.35">
      <c r="A123">
        <v>118</v>
      </c>
      <c r="B123" t="str">
        <v>No</v>
      </c>
      <c r="C123" t="str">
        <v>No</v>
      </c>
      <c r="D123" t="str">
        <v>No</v>
      </c>
      <c r="E123" t="str">
        <v>Unrestricted</v>
      </c>
      <c r="F123">
        <v>20</v>
      </c>
      <c r="G123" t="str">
        <v>HS</v>
      </c>
      <c r="H123">
        <v>20</v>
      </c>
      <c r="I123">
        <v>1</v>
      </c>
      <c r="J123">
        <v>1</v>
      </c>
      <c r="K123">
        <v>0</v>
      </c>
    </row>
    <row r="124" spans="1:11" x14ac:dyDescent="0.35">
      <c r="A124">
        <v>119</v>
      </c>
      <c r="B124" t="str">
        <v>No</v>
      </c>
      <c r="C124" t="str">
        <v>Yes</v>
      </c>
      <c r="D124" t="str">
        <v>Yes</v>
      </c>
      <c r="E124" t="str">
        <v>Unrestricted</v>
      </c>
      <c r="F124">
        <v>50</v>
      </c>
      <c r="G124" t="str">
        <v>HS</v>
      </c>
      <c r="H124">
        <v>50</v>
      </c>
      <c r="I124">
        <v>1</v>
      </c>
      <c r="J124">
        <v>1</v>
      </c>
      <c r="K124" t="str">
        <v>Unrestricted multi-spore colonies. Multi-spore colonies on branch</v>
      </c>
    </row>
    <row r="125" spans="1:11" x14ac:dyDescent="0.35">
      <c r="A125">
        <v>120</v>
      </c>
      <c r="B125" t="str">
        <v>No</v>
      </c>
      <c r="C125" t="str">
        <v>No</v>
      </c>
      <c r="D125" t="str">
        <v>No</v>
      </c>
      <c r="E125" t="str">
        <v>Unrestricted</v>
      </c>
      <c r="F125">
        <v>20</v>
      </c>
      <c r="G125" t="str">
        <v>HS</v>
      </c>
      <c r="H125">
        <v>20</v>
      </c>
      <c r="I125">
        <v>1</v>
      </c>
      <c r="J125">
        <v>1</v>
      </c>
      <c r="K125" t="str">
        <v>1 unrestricted colony (3++). Colony with no immune response</v>
      </c>
    </row>
    <row r="126" spans="1:11" x14ac:dyDescent="0.35">
      <c r="A126">
        <v>122</v>
      </c>
      <c r="B126" t="str">
        <v>No</v>
      </c>
      <c r="C126" t="str">
        <v>Yes</v>
      </c>
      <c r="D126" t="str">
        <v>No</v>
      </c>
      <c r="E126" t="str">
        <v>Unrestricted</v>
      </c>
      <c r="F126">
        <v>50</v>
      </c>
      <c r="G126" t="str">
        <v>HS</v>
      </c>
      <c r="H126">
        <v>50</v>
      </c>
      <c r="I126">
        <v>1</v>
      </c>
      <c r="J126">
        <v>1</v>
      </c>
      <c r="K126" t="str">
        <v>No immune response other than on mature leaves</v>
      </c>
    </row>
    <row r="127" spans="1:11" x14ac:dyDescent="0.35">
      <c r="A127">
        <v>155</v>
      </c>
      <c r="B127" t="str">
        <v>No</v>
      </c>
      <c r="C127" t="str">
        <v>No</v>
      </c>
      <c r="D127" t="str">
        <v>No</v>
      </c>
      <c r="E127" t="str">
        <v>Unrestricted</v>
      </c>
      <c r="F127">
        <v>30</v>
      </c>
      <c r="G127" t="str">
        <v>HS</v>
      </c>
      <c r="H127">
        <v>30</v>
      </c>
      <c r="I127">
        <v>1</v>
      </c>
      <c r="J127">
        <v>1</v>
      </c>
      <c r="K127">
        <v>0</v>
      </c>
    </row>
    <row r="128" spans="1:11" x14ac:dyDescent="0.35">
      <c r="A128">
        <v>160</v>
      </c>
      <c r="B128" t="str">
        <v>No</v>
      </c>
      <c r="C128" t="str">
        <v>Yes</v>
      </c>
      <c r="D128" t="str">
        <v>No</v>
      </c>
      <c r="E128" t="str">
        <v>Unrestricted</v>
      </c>
      <c r="F128">
        <v>60</v>
      </c>
      <c r="G128" t="str">
        <v>HS</v>
      </c>
      <c r="H128">
        <v>60</v>
      </c>
      <c r="I128">
        <v>1</v>
      </c>
      <c r="J128">
        <v>1</v>
      </c>
      <c r="K128" t="str">
        <v>Some colonies with no immune response</v>
      </c>
    </row>
    <row r="129" spans="1:11" x14ac:dyDescent="0.35">
      <c r="A129">
        <v>174</v>
      </c>
      <c r="B129" t="str">
        <v>Yes</v>
      </c>
      <c r="C129" t="str">
        <v>Yes</v>
      </c>
      <c r="D129" t="str">
        <v>No</v>
      </c>
      <c r="E129" t="str">
        <v>Unrestricted</v>
      </c>
      <c r="F129">
        <v>30</v>
      </c>
      <c r="G129" t="str">
        <v>HS</v>
      </c>
      <c r="H129">
        <v>30</v>
      </c>
      <c r="I129">
        <v>1</v>
      </c>
      <c r="J129">
        <v>1</v>
      </c>
      <c r="K129" t="str">
        <v>Multi big colonies. On branch</v>
      </c>
    </row>
    <row r="130" spans="1:11" x14ac:dyDescent="0.35">
      <c r="A130">
        <v>214</v>
      </c>
      <c r="B130" t="str">
        <v>No</v>
      </c>
      <c r="C130" t="str">
        <v>Yes</v>
      </c>
      <c r="D130" t="str">
        <v>No</v>
      </c>
      <c r="E130" t="str">
        <v>Unrestricted</v>
      </c>
      <c r="F130">
        <v>5</v>
      </c>
      <c r="G130" t="str">
        <v>HS</v>
      </c>
      <c r="H130">
        <v>5</v>
      </c>
      <c r="I130">
        <v>1</v>
      </c>
      <c r="J130">
        <v>1</v>
      </c>
      <c r="K130" t="str">
        <v>On branch, limited immune response</v>
      </c>
    </row>
    <row r="131" spans="1:11" x14ac:dyDescent="0.35">
      <c r="A131">
        <v>230</v>
      </c>
      <c r="B131" t="str">
        <v>No</v>
      </c>
      <c r="C131" t="str">
        <v>Yes</v>
      </c>
      <c r="D131" t="str">
        <v>Yes</v>
      </c>
      <c r="E131" t="str">
        <v>Unrestricted</v>
      </c>
      <c r="F131">
        <v>70</v>
      </c>
      <c r="G131" t="str">
        <v>HS</v>
      </c>
      <c r="H131">
        <v>70</v>
      </c>
      <c r="I131">
        <v>1</v>
      </c>
      <c r="J131">
        <v>1</v>
      </c>
      <c r="K131">
        <v>0</v>
      </c>
    </row>
    <row r="132" spans="1:11" x14ac:dyDescent="0.35">
      <c r="A132">
        <v>233</v>
      </c>
      <c r="B132" t="str">
        <v>No</v>
      </c>
      <c r="C132" t="str">
        <v>Yes</v>
      </c>
      <c r="D132" t="str">
        <v>No</v>
      </c>
      <c r="E132" t="str">
        <v>Unrestricted</v>
      </c>
      <c r="F132">
        <v>20</v>
      </c>
      <c r="G132" t="str">
        <v>HS</v>
      </c>
      <c r="H132">
        <v>20</v>
      </c>
      <c r="I132">
        <v>1</v>
      </c>
      <c r="J132">
        <v>1</v>
      </c>
      <c r="K132" t="str">
        <v>Spore colonies with no response</v>
      </c>
    </row>
    <row r="133" spans="1:11" x14ac:dyDescent="0.35">
      <c r="A133">
        <v>246</v>
      </c>
      <c r="B133" t="str">
        <v>No</v>
      </c>
      <c r="C133" t="str">
        <v>No</v>
      </c>
      <c r="D133" t="str">
        <v>No</v>
      </c>
      <c r="E133" t="str">
        <v>Unrestricted</v>
      </c>
      <c r="F133">
        <v>20</v>
      </c>
      <c r="G133" t="str">
        <v>HS</v>
      </c>
      <c r="H133">
        <v>20</v>
      </c>
      <c r="I133">
        <v>1</v>
      </c>
      <c r="J133">
        <v>1</v>
      </c>
      <c r="K133" t="str">
        <v>No immune repsonse</v>
      </c>
    </row>
    <row r="134" spans="1:11" x14ac:dyDescent="0.35">
      <c r="A134">
        <v>247</v>
      </c>
      <c r="B134" t="str">
        <v>No</v>
      </c>
      <c r="C134" t="str">
        <v>Yes</v>
      </c>
      <c r="D134" t="str">
        <v>Yes</v>
      </c>
      <c r="E134" t="str">
        <v>Unrestricted</v>
      </c>
      <c r="F134">
        <v>40</v>
      </c>
      <c r="G134" t="str">
        <v>HS</v>
      </c>
      <c r="H134">
        <v>40</v>
      </c>
      <c r="I134">
        <v>1</v>
      </c>
      <c r="J134">
        <v>1</v>
      </c>
      <c r="K134" t="str">
        <v>No immune response in some colonies</v>
      </c>
    </row>
    <row r="135" spans="1:11" x14ac:dyDescent="0.35">
      <c r="A135">
        <v>266</v>
      </c>
      <c r="B135" t="str">
        <v>No</v>
      </c>
      <c r="C135" t="str">
        <v>Yes</v>
      </c>
      <c r="D135" t="str">
        <v>No</v>
      </c>
      <c r="E135" t="str">
        <v>Unrestricted</v>
      </c>
      <c r="F135">
        <v>20</v>
      </c>
      <c r="G135" t="str">
        <v>HS</v>
      </c>
      <c r="H135">
        <v>20</v>
      </c>
      <c r="I135">
        <v>1</v>
      </c>
      <c r="J135">
        <v>1</v>
      </c>
      <c r="K135" t="str">
        <v>Multi active spore colonies, limited immune response on young leaves (chlorosis on more mature)</v>
      </c>
    </row>
    <row r="136" spans="1:11" x14ac:dyDescent="0.35">
      <c r="A136">
        <v>268</v>
      </c>
      <c r="B136" t="str">
        <v>Yes</v>
      </c>
      <c r="C136" t="str">
        <v>No</v>
      </c>
      <c r="D136" t="str">
        <v>No</v>
      </c>
      <c r="E136" t="str">
        <v>Unrestricted</v>
      </c>
      <c r="F136">
        <v>40</v>
      </c>
      <c r="G136" t="str">
        <v>HS</v>
      </c>
      <c r="H136">
        <v>40</v>
      </c>
      <c r="I136">
        <v>1</v>
      </c>
      <c r="J136">
        <v>1</v>
      </c>
      <c r="K136" t="str">
        <v>Limited immune response</v>
      </c>
    </row>
    <row r="137" spans="1:11" x14ac:dyDescent="0.35">
      <c r="A137">
        <v>270</v>
      </c>
      <c r="B137" t="str">
        <v>No</v>
      </c>
      <c r="C137" t="str">
        <v>No</v>
      </c>
      <c r="D137" t="str">
        <v>No</v>
      </c>
      <c r="E137" t="str">
        <v>Unrestricted</v>
      </c>
      <c r="F137">
        <v>80</v>
      </c>
      <c r="G137" t="str">
        <v>HS</v>
      </c>
      <c r="H137">
        <v>80</v>
      </c>
      <c r="I137">
        <v>1</v>
      </c>
      <c r="J137">
        <v>1</v>
      </c>
      <c r="K137">
        <v>0</v>
      </c>
    </row>
    <row r="138" spans="1:11" x14ac:dyDescent="0.35">
      <c r="A138">
        <v>383</v>
      </c>
      <c r="B138" t="str">
        <v>No</v>
      </c>
      <c r="C138" t="str">
        <v>Yes</v>
      </c>
      <c r="D138" t="str">
        <v>No</v>
      </c>
      <c r="E138" t="str">
        <v>Unrestricted</v>
      </c>
      <c r="F138">
        <v>40</v>
      </c>
      <c r="G138" t="str">
        <v>HS</v>
      </c>
      <c r="H138">
        <v>40</v>
      </c>
      <c r="I138">
        <v>1</v>
      </c>
      <c r="J138">
        <v>1</v>
      </c>
      <c r="K138" t="str">
        <v>Lack of immune response</v>
      </c>
    </row>
    <row r="139" spans="1:11" x14ac:dyDescent="0.35">
      <c r="A139">
        <v>385</v>
      </c>
      <c r="B139" t="str">
        <v>No</v>
      </c>
      <c r="C139" t="str">
        <v>Yes</v>
      </c>
      <c r="D139" t="str">
        <v>No</v>
      </c>
      <c r="E139" t="str">
        <v>Unrestricted</v>
      </c>
      <c r="F139">
        <v>40</v>
      </c>
      <c r="G139" t="str">
        <v>HS</v>
      </c>
      <c r="H139">
        <v>40</v>
      </c>
      <c r="I139">
        <v>1</v>
      </c>
      <c r="J139">
        <v>1</v>
      </c>
      <c r="K139" t="str">
        <v>Minor immune response</v>
      </c>
    </row>
    <row r="140" spans="1:11" x14ac:dyDescent="0.35">
      <c r="A140">
        <v>424</v>
      </c>
      <c r="B140" t="str">
        <v>Yes</v>
      </c>
      <c r="C140" t="str">
        <v>No</v>
      </c>
      <c r="D140" t="str">
        <v>No</v>
      </c>
      <c r="E140" t="str">
        <v>Unrestricted</v>
      </c>
      <c r="F140">
        <v>40</v>
      </c>
      <c r="G140" t="str">
        <v>HS</v>
      </c>
      <c r="H140">
        <v>40</v>
      </c>
      <c r="I140">
        <v>1</v>
      </c>
      <c r="J140">
        <v>1</v>
      </c>
      <c r="K140" t="str">
        <v>Plenty of colonies of 1 spore</v>
      </c>
    </row>
    <row r="141" spans="1:11" x14ac:dyDescent="0.35">
      <c r="A141">
        <v>440</v>
      </c>
      <c r="B141" t="str">
        <v>No</v>
      </c>
      <c r="C141" t="str">
        <v>Yes</v>
      </c>
      <c r="D141" t="str">
        <v>No</v>
      </c>
      <c r="E141" t="str">
        <v>Unrestricted</v>
      </c>
      <c r="F141">
        <v>25</v>
      </c>
      <c r="G141" t="str">
        <v>HS</v>
      </c>
      <c r="H141">
        <v>25</v>
      </c>
      <c r="I141">
        <v>1</v>
      </c>
      <c r="J141">
        <v>1</v>
      </c>
      <c r="K141" t="str">
        <v>Limited immune response</v>
      </c>
    </row>
    <row r="142" spans="1:11" x14ac:dyDescent="0.35">
      <c r="A142">
        <v>460</v>
      </c>
      <c r="B142" t="str">
        <v>No</v>
      </c>
      <c r="C142" t="str">
        <v>Yes</v>
      </c>
      <c r="D142" t="str">
        <v>Yes</v>
      </c>
      <c r="E142" t="str">
        <v>Unrestricted</v>
      </c>
      <c r="F142">
        <v>80</v>
      </c>
      <c r="G142" t="str">
        <v>HS</v>
      </c>
      <c r="H142">
        <v>80</v>
      </c>
      <c r="I142">
        <v>1</v>
      </c>
      <c r="J142">
        <v>1</v>
      </c>
      <c r="K142">
        <v>0</v>
      </c>
    </row>
    <row r="143" spans="1:11" x14ac:dyDescent="0.35">
      <c r="A143">
        <v>647</v>
      </c>
      <c r="B143" t="str">
        <v>Yes</v>
      </c>
      <c r="C143" t="str">
        <v>No</v>
      </c>
      <c r="D143" t="str">
        <v>No</v>
      </c>
      <c r="E143" t="str">
        <v>Unrestricted</v>
      </c>
      <c r="F143">
        <v>10</v>
      </c>
      <c r="G143" t="str">
        <v>HS</v>
      </c>
      <c r="H143">
        <v>10</v>
      </c>
      <c r="I143">
        <v>1</v>
      </c>
      <c r="J143">
        <v>1</v>
      </c>
      <c r="K143" t="str">
        <v>Limited immune response. Multi-spore (3+) colonies</v>
      </c>
    </row>
    <row r="144" spans="1:11" x14ac:dyDescent="0.35">
      <c r="A144">
        <v>662</v>
      </c>
      <c r="B144" t="str">
        <v>No</v>
      </c>
      <c r="C144" t="str">
        <v>No</v>
      </c>
      <c r="D144" t="str">
        <v>No</v>
      </c>
      <c r="E144" t="str">
        <v>Unrestricted</v>
      </c>
      <c r="F144">
        <v>30</v>
      </c>
      <c r="G144" t="str">
        <v>HS</v>
      </c>
      <c r="H144">
        <v>30</v>
      </c>
      <c r="I144">
        <v>1</v>
      </c>
      <c r="J144">
        <v>1</v>
      </c>
      <c r="K144">
        <v>0</v>
      </c>
    </row>
    <row r="145" spans="1:11" x14ac:dyDescent="0.35">
      <c r="A145">
        <v>700</v>
      </c>
      <c r="B145" t="str">
        <v>No</v>
      </c>
      <c r="C145" t="str">
        <v>Yes</v>
      </c>
      <c r="D145" t="str">
        <v>No</v>
      </c>
      <c r="E145" t="str">
        <v>Unrestricted</v>
      </c>
      <c r="F145">
        <v>50</v>
      </c>
      <c r="G145" t="str">
        <v>HS</v>
      </c>
      <c r="H145">
        <v>50</v>
      </c>
      <c r="I145">
        <v>1</v>
      </c>
      <c r="J145">
        <v>1</v>
      </c>
      <c r="K145">
        <v>0</v>
      </c>
    </row>
    <row r="146" spans="1:11" x14ac:dyDescent="0.35">
      <c r="A146">
        <v>719</v>
      </c>
      <c r="B146" t="str">
        <v>No</v>
      </c>
      <c r="C146" t="str">
        <v>No</v>
      </c>
      <c r="D146" t="str">
        <v>No</v>
      </c>
      <c r="E146" t="str">
        <v>Unrestricted</v>
      </c>
      <c r="F146">
        <v>40</v>
      </c>
      <c r="G146" t="str">
        <v>HS</v>
      </c>
      <c r="H146">
        <v>40</v>
      </c>
      <c r="I146">
        <v>1</v>
      </c>
      <c r="J146">
        <v>1</v>
      </c>
      <c r="K146" t="str">
        <v>Limited immune response</v>
      </c>
    </row>
    <row r="147" spans="1:11" x14ac:dyDescent="0.35">
      <c r="A147">
        <v>252</v>
      </c>
      <c r="B147" t="str">
        <v>No</v>
      </c>
      <c r="C147" t="str">
        <v>Yes</v>
      </c>
      <c r="D147" t="str">
        <v>No</v>
      </c>
      <c r="E147" t="str">
        <v>Restricted</v>
      </c>
      <c r="F147">
        <v>1</v>
      </c>
      <c r="G147" t="str">
        <v>R</v>
      </c>
      <c r="H147">
        <v>0.25</v>
      </c>
      <c r="I147">
        <v>0</v>
      </c>
      <c r="J147">
        <v>0</v>
      </c>
      <c r="K147">
        <v>0</v>
      </c>
    </row>
    <row r="148" spans="1:11" x14ac:dyDescent="0.35">
      <c r="A148">
        <v>396</v>
      </c>
      <c r="B148" t="str">
        <v>No</v>
      </c>
      <c r="C148" t="str">
        <v>Yes</v>
      </c>
      <c r="D148" t="str">
        <v>No</v>
      </c>
      <c r="E148" t="str">
        <v>No</v>
      </c>
      <c r="F148">
        <v>5</v>
      </c>
      <c r="G148" t="str">
        <v>R</v>
      </c>
      <c r="H148">
        <v>1.25</v>
      </c>
      <c r="I148">
        <v>0</v>
      </c>
      <c r="J148">
        <v>0</v>
      </c>
      <c r="K148">
        <v>0</v>
      </c>
    </row>
    <row r="149" spans="1:11" x14ac:dyDescent="0.35">
      <c r="A149">
        <v>41</v>
      </c>
      <c r="B149" t="str">
        <v>No</v>
      </c>
      <c r="C149" t="str">
        <v>No</v>
      </c>
      <c r="D149" t="str">
        <v>Yes</v>
      </c>
      <c r="E149" t="str">
        <v>Restricted</v>
      </c>
      <c r="F149">
        <v>5</v>
      </c>
      <c r="G149" t="str">
        <v>MRMS</v>
      </c>
      <c r="H149">
        <v>2.5</v>
      </c>
      <c r="I149">
        <v>0</v>
      </c>
      <c r="J149">
        <v>0</v>
      </c>
      <c r="K149" t="str">
        <v>1 restricted spore colonies</v>
      </c>
    </row>
    <row r="150" spans="1:11" x14ac:dyDescent="0.35">
      <c r="A150">
        <v>46</v>
      </c>
      <c r="B150" t="str">
        <v>No</v>
      </c>
      <c r="C150" t="str">
        <v>Yes</v>
      </c>
      <c r="D150" t="str">
        <v>No</v>
      </c>
      <c r="E150" t="str">
        <v>Restricted</v>
      </c>
      <c r="F150">
        <v>20</v>
      </c>
      <c r="G150" t="str">
        <v>MRMS</v>
      </c>
      <c r="H150">
        <v>10</v>
      </c>
      <c r="I150">
        <v>0</v>
      </c>
      <c r="J150">
        <v>0</v>
      </c>
      <c r="K150" t="str">
        <v>Limited immune response</v>
      </c>
    </row>
    <row r="151" spans="1:11" x14ac:dyDescent="0.35">
      <c r="A151">
        <v>82</v>
      </c>
      <c r="B151" t="str">
        <v>No</v>
      </c>
      <c r="C151" t="str">
        <v>Yes</v>
      </c>
      <c r="D151" t="str">
        <v>No</v>
      </c>
      <c r="E151" t="str">
        <v>Restricted</v>
      </c>
      <c r="F151">
        <v>10</v>
      </c>
      <c r="G151" t="str">
        <v>MRMS</v>
      </c>
      <c r="H151">
        <v>5</v>
      </c>
      <c r="I151">
        <v>0</v>
      </c>
      <c r="J151">
        <v>0</v>
      </c>
      <c r="K151" t="str">
        <v>2 restricted colonies</v>
      </c>
    </row>
    <row r="152" spans="1:11" x14ac:dyDescent="0.35">
      <c r="A152">
        <v>101</v>
      </c>
      <c r="B152" t="str">
        <v>No</v>
      </c>
      <c r="C152" t="str">
        <v>Yes</v>
      </c>
      <c r="D152" t="str">
        <v>No</v>
      </c>
      <c r="E152" t="str">
        <v>Restricted</v>
      </c>
      <c r="F152">
        <v>10</v>
      </c>
      <c r="G152" t="str">
        <v>MRMS</v>
      </c>
      <c r="H152">
        <v>5</v>
      </c>
      <c r="I152">
        <v>0</v>
      </c>
      <c r="J152">
        <v>0</v>
      </c>
      <c r="K152">
        <v>0</v>
      </c>
    </row>
    <row r="153" spans="1:11" x14ac:dyDescent="0.35">
      <c r="A153">
        <v>102</v>
      </c>
      <c r="B153" t="str">
        <v>No</v>
      </c>
      <c r="C153" t="str">
        <v>Yes</v>
      </c>
      <c r="D153" t="str">
        <v>No</v>
      </c>
      <c r="E153" t="str">
        <v>Restricted</v>
      </c>
      <c r="F153">
        <v>20</v>
      </c>
      <c r="G153" t="str">
        <v>MRMS</v>
      </c>
      <c r="H153">
        <v>10</v>
      </c>
      <c r="I153">
        <v>0</v>
      </c>
      <c r="J153">
        <v>0</v>
      </c>
      <c r="K153">
        <v>0</v>
      </c>
    </row>
    <row r="154" spans="1:11" x14ac:dyDescent="0.35">
      <c r="A154">
        <v>103</v>
      </c>
      <c r="B154" t="str">
        <v>No</v>
      </c>
      <c r="C154" t="str">
        <v>Yes</v>
      </c>
      <c r="D154" t="str">
        <v>No</v>
      </c>
      <c r="E154" t="str">
        <v>Restricted</v>
      </c>
      <c r="F154">
        <v>5</v>
      </c>
      <c r="G154" t="str">
        <v>MRMS</v>
      </c>
      <c r="H154">
        <v>2.5</v>
      </c>
      <c r="I154">
        <v>0</v>
      </c>
      <c r="J154">
        <v>0</v>
      </c>
      <c r="K154" t="str">
        <v>1 1-spore colony</v>
      </c>
    </row>
    <row r="155" spans="1:11" x14ac:dyDescent="0.35">
      <c r="A155">
        <v>105</v>
      </c>
      <c r="B155" t="str">
        <v>No</v>
      </c>
      <c r="C155" t="str">
        <v>Yes</v>
      </c>
      <c r="D155" t="str">
        <v>No</v>
      </c>
      <c r="E155" t="str">
        <v>Restricted</v>
      </c>
      <c r="F155">
        <v>10</v>
      </c>
      <c r="G155" t="str">
        <v>MRMS</v>
      </c>
      <c r="H155">
        <v>5</v>
      </c>
      <c r="I155">
        <v>0</v>
      </c>
      <c r="J155">
        <v>0</v>
      </c>
      <c r="K155">
        <v>0</v>
      </c>
    </row>
    <row r="156" spans="1:11" x14ac:dyDescent="0.35">
      <c r="A156">
        <v>125</v>
      </c>
      <c r="B156" t="str">
        <v>No</v>
      </c>
      <c r="C156" t="str">
        <v>Yes</v>
      </c>
      <c r="D156" t="str">
        <v>No</v>
      </c>
      <c r="E156" t="str">
        <v>Restricted</v>
      </c>
      <c r="F156">
        <v>20</v>
      </c>
      <c r="G156" t="str">
        <v>MRMS</v>
      </c>
      <c r="H156">
        <v>10</v>
      </c>
      <c r="I156">
        <v>0</v>
      </c>
      <c r="J156">
        <v>0</v>
      </c>
      <c r="K156" t="str">
        <v>Minimal active spore colonies</v>
      </c>
    </row>
    <row r="157" spans="1:11" x14ac:dyDescent="0.35">
      <c r="A157">
        <v>157</v>
      </c>
      <c r="B157" t="str">
        <v>No</v>
      </c>
      <c r="C157" t="str">
        <v>Yes</v>
      </c>
      <c r="D157" t="str">
        <v>No</v>
      </c>
      <c r="E157" t="str">
        <v>Restricted</v>
      </c>
      <c r="F157">
        <v>30</v>
      </c>
      <c r="G157" t="str">
        <v>MRMS</v>
      </c>
      <c r="H157">
        <v>15</v>
      </c>
      <c r="I157">
        <v>0</v>
      </c>
      <c r="J157">
        <v>0</v>
      </c>
      <c r="K157">
        <v>0</v>
      </c>
    </row>
    <row r="158" spans="1:11" x14ac:dyDescent="0.35">
      <c r="A158">
        <v>173</v>
      </c>
      <c r="B158" t="str">
        <v>No</v>
      </c>
      <c r="C158" t="str">
        <v>Yes</v>
      </c>
      <c r="D158" t="str">
        <v>No</v>
      </c>
      <c r="E158" t="str">
        <v>Restricted</v>
      </c>
      <c r="F158">
        <v>5</v>
      </c>
      <c r="G158" t="str">
        <v>MRMS</v>
      </c>
      <c r="H158">
        <v>2.5</v>
      </c>
      <c r="I158">
        <v>0</v>
      </c>
      <c r="J158">
        <v>0</v>
      </c>
      <c r="K158" t="str">
        <v>2 single spore colonies. On branch</v>
      </c>
    </row>
    <row r="159" spans="1:11" x14ac:dyDescent="0.35">
      <c r="A159">
        <v>197</v>
      </c>
      <c r="B159" t="str">
        <v>No</v>
      </c>
      <c r="C159" t="str">
        <v>No</v>
      </c>
      <c r="D159" t="str">
        <v>No</v>
      </c>
      <c r="E159" t="str">
        <v>Restricted</v>
      </c>
      <c r="F159">
        <v>5</v>
      </c>
      <c r="G159" t="str">
        <v>MRMS</v>
      </c>
      <c r="H159">
        <v>2.5</v>
      </c>
      <c r="I159">
        <v>0</v>
      </c>
      <c r="J159">
        <v>0</v>
      </c>
      <c r="K159" t="str">
        <v>Limited sporulation, limited immune response</v>
      </c>
    </row>
    <row r="160" spans="1:11" x14ac:dyDescent="0.35">
      <c r="A160">
        <v>216</v>
      </c>
      <c r="B160" t="str">
        <v>No</v>
      </c>
      <c r="C160" t="str">
        <v>Yes</v>
      </c>
      <c r="D160" t="str">
        <v>No</v>
      </c>
      <c r="E160" t="str">
        <v>Restricted</v>
      </c>
      <c r="F160">
        <v>10</v>
      </c>
      <c r="G160" t="str">
        <v>MRMS</v>
      </c>
      <c r="H160">
        <v>5</v>
      </c>
      <c r="I160">
        <v>0</v>
      </c>
      <c r="J160">
        <v>0</v>
      </c>
      <c r="K160" t="str">
        <v>Pests. Spores on branch</v>
      </c>
    </row>
    <row r="161" spans="1:11" x14ac:dyDescent="0.35">
      <c r="A161">
        <v>231</v>
      </c>
      <c r="B161" t="str">
        <v>No</v>
      </c>
      <c r="C161" t="str">
        <v>Yes</v>
      </c>
      <c r="D161" t="str">
        <v>No</v>
      </c>
      <c r="E161" t="str">
        <v>Restricted</v>
      </c>
      <c r="F161">
        <v>20</v>
      </c>
      <c r="G161" t="str">
        <v>MRMS</v>
      </c>
      <c r="H161">
        <v>10</v>
      </c>
      <c r="I161">
        <v>0</v>
      </c>
      <c r="J161">
        <v>0</v>
      </c>
      <c r="K161" t="str">
        <v>Minimal active spore colonies</v>
      </c>
    </row>
    <row r="162" spans="1:11" x14ac:dyDescent="0.35">
      <c r="A162">
        <v>234</v>
      </c>
      <c r="B162" t="str">
        <v>No</v>
      </c>
      <c r="C162" t="str">
        <v>Yes</v>
      </c>
      <c r="D162" t="str">
        <v>No</v>
      </c>
      <c r="E162" t="str">
        <v>Restricted</v>
      </c>
      <c r="F162">
        <v>3</v>
      </c>
      <c r="G162" t="str">
        <v>MRMS</v>
      </c>
      <c r="H162">
        <v>1.5</v>
      </c>
      <c r="I162">
        <v>0</v>
      </c>
      <c r="J162">
        <v>0</v>
      </c>
      <c r="K162" t="str">
        <v>Minimal active spore colonies</v>
      </c>
    </row>
    <row r="163" spans="1:11" x14ac:dyDescent="0.35">
      <c r="A163">
        <v>235</v>
      </c>
      <c r="B163" t="str">
        <v>Yes</v>
      </c>
      <c r="C163" t="str">
        <v>Yes</v>
      </c>
      <c r="D163" t="str">
        <v>No</v>
      </c>
      <c r="E163" t="str">
        <v>Restricted</v>
      </c>
      <c r="F163">
        <v>5</v>
      </c>
      <c r="G163" t="str">
        <v>MRMS</v>
      </c>
      <c r="H163">
        <v>2.5</v>
      </c>
      <c r="I163">
        <v>0</v>
      </c>
      <c r="J163">
        <v>0</v>
      </c>
      <c r="K163" t="str">
        <v>One active spore colony</v>
      </c>
    </row>
    <row r="164" spans="1:11" x14ac:dyDescent="0.35">
      <c r="A164">
        <v>250</v>
      </c>
      <c r="B164" t="str">
        <v>No</v>
      </c>
      <c r="C164" t="str">
        <v>Yes</v>
      </c>
      <c r="D164" t="str">
        <v>Yes</v>
      </c>
      <c r="E164" t="str">
        <v>Restricted</v>
      </c>
      <c r="F164">
        <v>5</v>
      </c>
      <c r="G164" t="str">
        <v>MRMS</v>
      </c>
      <c r="H164">
        <v>2.5</v>
      </c>
      <c r="I164">
        <v>0</v>
      </c>
      <c r="J164">
        <v>0</v>
      </c>
      <c r="K164">
        <v>0</v>
      </c>
    </row>
    <row r="165" spans="1:11" x14ac:dyDescent="0.35">
      <c r="A165">
        <v>251</v>
      </c>
      <c r="B165" t="str">
        <v>Yes</v>
      </c>
      <c r="C165" t="str">
        <v>Yes</v>
      </c>
      <c r="D165" t="str">
        <v>No</v>
      </c>
      <c r="E165" t="str">
        <v>Mix</v>
      </c>
      <c r="F165">
        <v>10</v>
      </c>
      <c r="G165" t="str">
        <v>MRMS</v>
      </c>
      <c r="H165">
        <v>5</v>
      </c>
      <c r="I165">
        <v>0</v>
      </c>
      <c r="J165">
        <v>0</v>
      </c>
      <c r="K165">
        <v>0</v>
      </c>
    </row>
    <row r="166" spans="1:11" x14ac:dyDescent="0.35">
      <c r="A166">
        <v>253</v>
      </c>
      <c r="B166" t="str">
        <v>Yes</v>
      </c>
      <c r="C166" t="str">
        <v>Yes</v>
      </c>
      <c r="D166" t="str">
        <v>No</v>
      </c>
      <c r="E166" t="str">
        <v>Restricted</v>
      </c>
      <c r="F166">
        <v>5</v>
      </c>
      <c r="G166" t="str">
        <v>MRMS</v>
      </c>
      <c r="H166">
        <v>2.5</v>
      </c>
      <c r="I166">
        <v>0</v>
      </c>
      <c r="J166">
        <v>0</v>
      </c>
      <c r="K166">
        <v>0</v>
      </c>
    </row>
    <row r="167" spans="1:11" x14ac:dyDescent="0.35">
      <c r="A167">
        <v>255</v>
      </c>
      <c r="B167" t="str">
        <v>No</v>
      </c>
      <c r="C167" t="str">
        <v>Yes</v>
      </c>
      <c r="D167" t="str">
        <v>Yes</v>
      </c>
      <c r="E167" t="str">
        <v>Restricted</v>
      </c>
      <c r="F167">
        <v>10</v>
      </c>
      <c r="G167" t="str">
        <v>MRMS</v>
      </c>
      <c r="H167">
        <v>5</v>
      </c>
      <c r="I167">
        <v>0</v>
      </c>
      <c r="J167">
        <v>0</v>
      </c>
      <c r="K167">
        <v>0</v>
      </c>
    </row>
    <row r="168" spans="1:11" x14ac:dyDescent="0.35">
      <c r="A168">
        <v>271</v>
      </c>
      <c r="B168" t="str">
        <v>Yes</v>
      </c>
      <c r="C168" t="str">
        <v>No</v>
      </c>
      <c r="D168" t="str">
        <v>No</v>
      </c>
      <c r="E168" t="str">
        <v>Restricted</v>
      </c>
      <c r="F168">
        <v>5</v>
      </c>
      <c r="G168" t="str">
        <v>MRMS</v>
      </c>
      <c r="H168">
        <v>2.5</v>
      </c>
      <c r="I168">
        <v>0</v>
      </c>
      <c r="J168">
        <v>0</v>
      </c>
      <c r="K168" t="str">
        <v>1 active spore colony</v>
      </c>
    </row>
    <row r="169" spans="1:11" x14ac:dyDescent="0.35">
      <c r="A169">
        <v>272</v>
      </c>
      <c r="B169" t="str">
        <v>No</v>
      </c>
      <c r="C169" t="str">
        <v>No</v>
      </c>
      <c r="D169" t="str">
        <v>No</v>
      </c>
      <c r="E169" t="str">
        <v>No</v>
      </c>
      <c r="F169">
        <v>10</v>
      </c>
      <c r="G169" t="str">
        <v>MRMS</v>
      </c>
      <c r="H169">
        <v>5</v>
      </c>
      <c r="I169">
        <v>0</v>
      </c>
      <c r="J169">
        <v>0</v>
      </c>
      <c r="K169">
        <v>0</v>
      </c>
    </row>
    <row r="170" spans="1:11" x14ac:dyDescent="0.35">
      <c r="A170">
        <v>293</v>
      </c>
      <c r="B170" t="str">
        <v>No</v>
      </c>
      <c r="C170" t="str">
        <v>No</v>
      </c>
      <c r="D170" t="str">
        <v>Yes</v>
      </c>
      <c r="E170" t="str">
        <v>Restricted</v>
      </c>
      <c r="F170">
        <v>5</v>
      </c>
      <c r="G170" t="str">
        <v>MRMS</v>
      </c>
      <c r="H170">
        <v>2.5</v>
      </c>
      <c r="I170">
        <v>0</v>
      </c>
      <c r="J170">
        <v>0</v>
      </c>
      <c r="K170">
        <v>0</v>
      </c>
    </row>
    <row r="171" spans="1:11" x14ac:dyDescent="0.35">
      <c r="A171">
        <v>301</v>
      </c>
      <c r="B171" t="str">
        <v>No</v>
      </c>
      <c r="C171" t="str">
        <v>Yes</v>
      </c>
      <c r="D171" t="str">
        <v>No</v>
      </c>
      <c r="E171" t="str">
        <v>Restricted</v>
      </c>
      <c r="F171">
        <v>5</v>
      </c>
      <c r="G171" t="str">
        <v>MRMS</v>
      </c>
      <c r="H171">
        <v>2.5</v>
      </c>
      <c r="I171">
        <v>0</v>
      </c>
      <c r="J171">
        <v>0</v>
      </c>
      <c r="K171">
        <v>0</v>
      </c>
    </row>
    <row r="172" spans="1:11" x14ac:dyDescent="0.35">
      <c r="A172">
        <v>302</v>
      </c>
      <c r="B172" t="str">
        <v>No</v>
      </c>
      <c r="C172" t="str">
        <v>Yes</v>
      </c>
      <c r="D172" t="str">
        <v>No</v>
      </c>
      <c r="E172" t="str">
        <v>Restricted</v>
      </c>
      <c r="F172">
        <v>25</v>
      </c>
      <c r="G172" t="str">
        <v>MRMS</v>
      </c>
      <c r="H172">
        <v>12.5</v>
      </c>
      <c r="I172">
        <v>0</v>
      </c>
      <c r="J172">
        <v>0</v>
      </c>
      <c r="K172" t="str">
        <v>Three colonies of 3-spores</v>
      </c>
    </row>
    <row r="173" spans="1:11" x14ac:dyDescent="0.35">
      <c r="A173">
        <v>304</v>
      </c>
      <c r="B173" t="str">
        <v>No</v>
      </c>
      <c r="C173" t="str">
        <v>No</v>
      </c>
      <c r="D173" t="str">
        <v>Yes</v>
      </c>
      <c r="E173" t="str">
        <v>Unrestricted</v>
      </c>
      <c r="F173">
        <v>10</v>
      </c>
      <c r="G173" t="str">
        <v>MRMS</v>
      </c>
      <c r="H173">
        <v>5</v>
      </c>
      <c r="I173">
        <v>0</v>
      </c>
      <c r="J173">
        <v>0</v>
      </c>
      <c r="K173" t="str">
        <v>1 unrestricted colony</v>
      </c>
    </row>
    <row r="174" spans="1:11" x14ac:dyDescent="0.35">
      <c r="A174">
        <v>307</v>
      </c>
      <c r="B174" t="str">
        <v>No</v>
      </c>
      <c r="C174" t="str">
        <v>Yes</v>
      </c>
      <c r="D174" t="str">
        <v>Yes</v>
      </c>
      <c r="E174" t="str">
        <v>Restricted</v>
      </c>
      <c r="F174">
        <v>5</v>
      </c>
      <c r="G174" t="str">
        <v>MRMS</v>
      </c>
      <c r="H174">
        <v>2.5</v>
      </c>
      <c r="I174">
        <v>0</v>
      </c>
      <c r="J174">
        <v>0</v>
      </c>
      <c r="K174" t="str">
        <v>Minimal active spore colonies</v>
      </c>
    </row>
    <row r="175" spans="1:11" x14ac:dyDescent="0.35">
      <c r="A175">
        <v>309</v>
      </c>
      <c r="B175" t="str">
        <v>No</v>
      </c>
      <c r="C175" t="str">
        <v>No</v>
      </c>
      <c r="D175" t="str">
        <v>No</v>
      </c>
      <c r="E175" t="str">
        <v>Restricted</v>
      </c>
      <c r="F175">
        <v>1</v>
      </c>
      <c r="G175" t="str">
        <v>MRMS</v>
      </c>
      <c r="H175">
        <v>0.5</v>
      </c>
      <c r="I175">
        <v>0</v>
      </c>
      <c r="J175">
        <v>0</v>
      </c>
      <c r="K175" t="str">
        <v>One 1-spore colony</v>
      </c>
    </row>
    <row r="176" spans="1:11" x14ac:dyDescent="0.35">
      <c r="A176">
        <v>321</v>
      </c>
      <c r="B176" t="str">
        <v>No</v>
      </c>
      <c r="C176" t="str">
        <v>Yes</v>
      </c>
      <c r="D176" t="str">
        <v>No</v>
      </c>
      <c r="E176" t="str">
        <v>Restricted</v>
      </c>
      <c r="F176">
        <v>10</v>
      </c>
      <c r="G176" t="str">
        <v>MRMS</v>
      </c>
      <c r="H176">
        <v>5</v>
      </c>
      <c r="I176">
        <v>0</v>
      </c>
      <c r="J176">
        <v>0</v>
      </c>
      <c r="K176">
        <v>0</v>
      </c>
    </row>
    <row r="177" spans="1:11" x14ac:dyDescent="0.35">
      <c r="A177">
        <v>324</v>
      </c>
      <c r="B177" t="str">
        <v>No</v>
      </c>
      <c r="C177" t="str">
        <v>Yes</v>
      </c>
      <c r="D177" t="str">
        <v>No</v>
      </c>
      <c r="E177" t="str">
        <v>Restricted</v>
      </c>
      <c r="F177">
        <v>5</v>
      </c>
      <c r="G177" t="str">
        <v>MRMS</v>
      </c>
      <c r="H177">
        <v>2.5</v>
      </c>
      <c r="I177">
        <v>0</v>
      </c>
      <c r="J177">
        <v>0</v>
      </c>
      <c r="K177" t="str">
        <v>1 colony, attempted spore penetration evident on branch</v>
      </c>
    </row>
    <row r="178" spans="1:11" x14ac:dyDescent="0.35">
      <c r="A178">
        <v>326</v>
      </c>
      <c r="B178" t="str">
        <v>No</v>
      </c>
      <c r="C178" t="str">
        <v>No</v>
      </c>
      <c r="D178" t="str">
        <v>No</v>
      </c>
      <c r="E178" t="str">
        <v>Restricted</v>
      </c>
      <c r="F178">
        <v>1</v>
      </c>
      <c r="G178" t="str">
        <v>MRMS</v>
      </c>
      <c r="H178">
        <v>0.5</v>
      </c>
      <c r="I178">
        <v>0</v>
      </c>
      <c r="J178">
        <v>0</v>
      </c>
      <c r="K178" t="str">
        <v>One active spore, no other responses</v>
      </c>
    </row>
    <row r="179" spans="1:11" x14ac:dyDescent="0.35">
      <c r="A179">
        <v>348</v>
      </c>
      <c r="B179" t="str">
        <v>No</v>
      </c>
      <c r="C179" t="str">
        <v>Yes</v>
      </c>
      <c r="D179" t="str">
        <v>No</v>
      </c>
      <c r="E179" t="str">
        <v>Restricted</v>
      </c>
      <c r="F179">
        <v>20</v>
      </c>
      <c r="G179" t="str">
        <v>MRMS</v>
      </c>
      <c r="H179">
        <v>10</v>
      </c>
      <c r="I179">
        <v>0</v>
      </c>
      <c r="J179">
        <v>0</v>
      </c>
      <c r="K179">
        <v>0</v>
      </c>
    </row>
    <row r="180" spans="1:11" x14ac:dyDescent="0.35">
      <c r="A180">
        <v>350</v>
      </c>
      <c r="B180" t="str">
        <v>No</v>
      </c>
      <c r="C180" t="str">
        <v>Yes</v>
      </c>
      <c r="D180" t="str">
        <v>No</v>
      </c>
      <c r="E180" t="str">
        <v>Restricted</v>
      </c>
      <c r="F180">
        <v>10</v>
      </c>
      <c r="G180" t="str">
        <v>MRMS</v>
      </c>
      <c r="H180">
        <v>5</v>
      </c>
      <c r="I180">
        <v>0</v>
      </c>
      <c r="J180">
        <v>0</v>
      </c>
      <c r="K180">
        <v>0</v>
      </c>
    </row>
    <row r="181" spans="1:11" x14ac:dyDescent="0.35">
      <c r="A181">
        <v>361</v>
      </c>
      <c r="B181" t="str">
        <v>No</v>
      </c>
      <c r="C181" t="str">
        <v>Yes</v>
      </c>
      <c r="D181" t="str">
        <v>No</v>
      </c>
      <c r="E181" t="str">
        <v>Restricted</v>
      </c>
      <c r="F181">
        <v>5</v>
      </c>
      <c r="G181" t="str">
        <v>MRMS</v>
      </c>
      <c r="H181">
        <v>2.5</v>
      </c>
      <c r="I181">
        <v>0</v>
      </c>
      <c r="J181">
        <v>0</v>
      </c>
      <c r="K181" t="str">
        <v>One active spore colonies</v>
      </c>
    </row>
    <row r="182" spans="1:11" x14ac:dyDescent="0.35">
      <c r="A182">
        <v>363</v>
      </c>
      <c r="B182" t="str">
        <v>Yes</v>
      </c>
      <c r="C182" t="str">
        <v>No</v>
      </c>
      <c r="D182" t="str">
        <v>Yes</v>
      </c>
      <c r="E182" t="str">
        <v>Restricted</v>
      </c>
      <c r="F182">
        <v>15</v>
      </c>
      <c r="G182" t="str">
        <v>MRMS</v>
      </c>
      <c r="H182">
        <v>7.5</v>
      </c>
      <c r="I182">
        <v>0</v>
      </c>
      <c r="J182">
        <v>0</v>
      </c>
      <c r="K182" t="str">
        <v>Limited actual spores</v>
      </c>
    </row>
    <row r="183" spans="1:11" x14ac:dyDescent="0.35">
      <c r="A183">
        <v>369</v>
      </c>
      <c r="B183" t="str">
        <v>No</v>
      </c>
      <c r="C183" t="str">
        <v>Yes</v>
      </c>
      <c r="D183" t="str">
        <v>Yes</v>
      </c>
      <c r="E183" t="str">
        <v>Restricted</v>
      </c>
      <c r="F183">
        <v>5</v>
      </c>
      <c r="G183" t="str">
        <v>MRMS</v>
      </c>
      <c r="H183">
        <v>2.5</v>
      </c>
      <c r="I183">
        <v>0</v>
      </c>
      <c r="J183">
        <v>0</v>
      </c>
      <c r="K183" t="str">
        <v>On branch, limited immune response</v>
      </c>
    </row>
    <row r="184" spans="1:11" x14ac:dyDescent="0.35">
      <c r="A184">
        <v>378</v>
      </c>
      <c r="B184" t="str">
        <v>No</v>
      </c>
      <c r="C184" t="str">
        <v>No</v>
      </c>
      <c r="D184" t="str">
        <v>Yes</v>
      </c>
      <c r="E184" t="str">
        <v>Restricted</v>
      </c>
      <c r="F184">
        <v>5</v>
      </c>
      <c r="G184" t="str">
        <v>MRMS</v>
      </c>
      <c r="H184">
        <v>2.5</v>
      </c>
      <c r="I184">
        <v>0</v>
      </c>
      <c r="J184">
        <v>0</v>
      </c>
      <c r="K184" t="str">
        <v>Kink. One active spore</v>
      </c>
    </row>
    <row r="185" spans="1:11" x14ac:dyDescent="0.35">
      <c r="A185">
        <v>397</v>
      </c>
      <c r="B185" t="str">
        <v>No</v>
      </c>
      <c r="C185" t="str">
        <v>Yes</v>
      </c>
      <c r="D185" t="str">
        <v>No</v>
      </c>
      <c r="E185" t="str">
        <v>Restricted</v>
      </c>
      <c r="F185">
        <v>5</v>
      </c>
      <c r="G185" t="str">
        <v>MRMS</v>
      </c>
      <c r="H185">
        <v>2.5</v>
      </c>
      <c r="I185">
        <v>0</v>
      </c>
      <c r="J185">
        <v>0</v>
      </c>
      <c r="K185" t="str">
        <v>Minimal active spore colonies</v>
      </c>
    </row>
    <row r="186" spans="1:11" x14ac:dyDescent="0.35">
      <c r="A186">
        <v>400</v>
      </c>
      <c r="B186" t="str">
        <v>No</v>
      </c>
      <c r="C186" t="str">
        <v>Yes</v>
      </c>
      <c r="D186" t="str">
        <v>Yes</v>
      </c>
      <c r="E186" t="str">
        <v>Restricted</v>
      </c>
      <c r="F186">
        <v>10</v>
      </c>
      <c r="G186" t="str">
        <v>MRMS</v>
      </c>
      <c r="H186">
        <v>5</v>
      </c>
      <c r="I186">
        <v>0</v>
      </c>
      <c r="J186">
        <v>0</v>
      </c>
      <c r="K186">
        <v>0</v>
      </c>
    </row>
    <row r="187" spans="1:11" x14ac:dyDescent="0.35">
      <c r="A187">
        <v>405</v>
      </c>
      <c r="B187" t="str">
        <v>No</v>
      </c>
      <c r="C187" t="str">
        <v>Yes</v>
      </c>
      <c r="D187" t="str">
        <v>No</v>
      </c>
      <c r="E187" t="str">
        <v>Restricted</v>
      </c>
      <c r="F187">
        <v>10</v>
      </c>
      <c r="G187" t="str">
        <v>MRMS</v>
      </c>
      <c r="H187">
        <v>5</v>
      </c>
      <c r="I187">
        <v>0</v>
      </c>
      <c r="J187">
        <v>0</v>
      </c>
      <c r="K187">
        <v>0</v>
      </c>
    </row>
    <row r="188" spans="1:11" x14ac:dyDescent="0.35">
      <c r="A188">
        <v>416</v>
      </c>
      <c r="B188" t="str">
        <v>No</v>
      </c>
      <c r="C188" t="str">
        <v>Yes</v>
      </c>
      <c r="D188" t="str">
        <v>No</v>
      </c>
      <c r="E188" t="str">
        <v>Restricted</v>
      </c>
      <c r="F188">
        <v>5</v>
      </c>
      <c r="G188" t="str">
        <v>MRMS</v>
      </c>
      <c r="H188">
        <v>2.5</v>
      </c>
      <c r="I188">
        <v>0</v>
      </c>
      <c r="J188">
        <v>0</v>
      </c>
      <c r="K188" t="str">
        <v>3 single spore colonies</v>
      </c>
    </row>
    <row r="189" spans="1:11" x14ac:dyDescent="0.35">
      <c r="A189">
        <v>417</v>
      </c>
      <c r="B189" t="str">
        <v>No</v>
      </c>
      <c r="C189" t="str">
        <v>Yes</v>
      </c>
      <c r="D189" t="str">
        <v>Yes</v>
      </c>
      <c r="E189" t="str">
        <v>Restricted</v>
      </c>
      <c r="F189">
        <v>5</v>
      </c>
      <c r="G189" t="str">
        <v>MRMS</v>
      </c>
      <c r="H189">
        <v>2.5</v>
      </c>
      <c r="I189">
        <v>0</v>
      </c>
      <c r="J189">
        <v>0</v>
      </c>
      <c r="K189">
        <v>0</v>
      </c>
    </row>
    <row r="190" spans="1:11" x14ac:dyDescent="0.35">
      <c r="A190">
        <v>418</v>
      </c>
      <c r="B190" t="str">
        <v>No</v>
      </c>
      <c r="C190" t="str">
        <v>Yes</v>
      </c>
      <c r="D190" t="str">
        <v>No</v>
      </c>
      <c r="E190" t="str">
        <v>Restricted</v>
      </c>
      <c r="F190">
        <v>5</v>
      </c>
      <c r="G190" t="str">
        <v>MRMS</v>
      </c>
      <c r="H190">
        <v>2.5</v>
      </c>
      <c r="I190">
        <v>0</v>
      </c>
      <c r="J190">
        <v>0</v>
      </c>
      <c r="K190" t="str">
        <v>1 colony. Minor chlorosis</v>
      </c>
    </row>
    <row r="191" spans="1:11" x14ac:dyDescent="0.35">
      <c r="A191">
        <v>443</v>
      </c>
      <c r="B191" t="str">
        <v>No</v>
      </c>
      <c r="C191" t="str">
        <v>Yes</v>
      </c>
      <c r="D191" t="str">
        <v>No</v>
      </c>
      <c r="E191" t="str">
        <v>Restricted</v>
      </c>
      <c r="F191">
        <v>1</v>
      </c>
      <c r="G191" t="str">
        <v>MRMS</v>
      </c>
      <c r="H191">
        <v>0.5</v>
      </c>
      <c r="I191">
        <v>0</v>
      </c>
      <c r="J191">
        <v>0</v>
      </c>
      <c r="K191" t="str">
        <v>One active spore colony</v>
      </c>
    </row>
    <row r="192" spans="1:11" x14ac:dyDescent="0.35">
      <c r="A192">
        <v>444</v>
      </c>
      <c r="B192" t="str">
        <v>No</v>
      </c>
      <c r="C192" t="str">
        <v>No</v>
      </c>
      <c r="D192" t="str">
        <v>Yes</v>
      </c>
      <c r="E192" t="str">
        <v>Restricted</v>
      </c>
      <c r="F192">
        <v>5</v>
      </c>
      <c r="G192" t="str">
        <v>MRMS</v>
      </c>
      <c r="H192">
        <v>2.5</v>
      </c>
      <c r="I192">
        <v>0</v>
      </c>
      <c r="J192">
        <v>0</v>
      </c>
      <c r="K192" t="str">
        <v>Two spore colonies</v>
      </c>
    </row>
    <row r="193" spans="1:11" x14ac:dyDescent="0.35">
      <c r="A193">
        <v>452</v>
      </c>
      <c r="B193" t="str">
        <v>No</v>
      </c>
      <c r="C193" t="str">
        <v>Yes</v>
      </c>
      <c r="D193" t="str">
        <v>Yes</v>
      </c>
      <c r="E193" t="str">
        <v>Restricted</v>
      </c>
      <c r="F193">
        <v>15</v>
      </c>
      <c r="G193" t="str">
        <v>MRMS</v>
      </c>
      <c r="H193">
        <v>7.5</v>
      </c>
      <c r="I193">
        <v>0</v>
      </c>
      <c r="J193">
        <v>0</v>
      </c>
      <c r="K193">
        <v>0</v>
      </c>
    </row>
    <row r="194" spans="1:11" x14ac:dyDescent="0.35">
      <c r="A194">
        <v>453</v>
      </c>
      <c r="B194" t="str">
        <v>No</v>
      </c>
      <c r="C194" t="str">
        <v>No</v>
      </c>
      <c r="D194" t="str">
        <v>Yes</v>
      </c>
      <c r="E194" t="str">
        <v>Restricted</v>
      </c>
      <c r="F194">
        <v>5</v>
      </c>
      <c r="G194" t="str">
        <v>MRMS</v>
      </c>
      <c r="H194">
        <v>2.5</v>
      </c>
      <c r="I194">
        <v>0</v>
      </c>
      <c r="J194">
        <v>0</v>
      </c>
      <c r="K194">
        <v>0</v>
      </c>
    </row>
    <row r="195" spans="1:11" x14ac:dyDescent="0.35">
      <c r="A195">
        <v>471</v>
      </c>
      <c r="B195" t="str">
        <v>No</v>
      </c>
      <c r="C195" t="str">
        <v>Yes</v>
      </c>
      <c r="D195" t="str">
        <v>Yes</v>
      </c>
      <c r="E195" t="str">
        <v>Restricted</v>
      </c>
      <c r="F195">
        <v>30</v>
      </c>
      <c r="G195" t="str">
        <v>MRMS</v>
      </c>
      <c r="H195">
        <v>15</v>
      </c>
      <c r="I195">
        <v>0</v>
      </c>
      <c r="J195">
        <v>0</v>
      </c>
      <c r="K195" t="str">
        <v>Cluster but minimal sporulation</v>
      </c>
    </row>
    <row r="196" spans="1:11" x14ac:dyDescent="0.35">
      <c r="A196">
        <v>478</v>
      </c>
      <c r="B196" t="str">
        <v>No</v>
      </c>
      <c r="C196" t="str">
        <v>No</v>
      </c>
      <c r="D196" t="str">
        <v>No</v>
      </c>
      <c r="E196" t="str">
        <v>Restricted</v>
      </c>
      <c r="F196">
        <v>5</v>
      </c>
      <c r="G196" t="str">
        <v>MRMS</v>
      </c>
      <c r="H196">
        <v>2.5</v>
      </c>
      <c r="I196">
        <v>0</v>
      </c>
      <c r="J196">
        <v>0</v>
      </c>
      <c r="K196" t="str">
        <v>1 spore colony</v>
      </c>
    </row>
    <row r="197" spans="1:11" x14ac:dyDescent="0.35">
      <c r="A197">
        <v>601</v>
      </c>
      <c r="B197" t="str">
        <v>No</v>
      </c>
      <c r="C197" t="str">
        <v>Yes</v>
      </c>
      <c r="D197" t="str">
        <v>Yes</v>
      </c>
      <c r="E197" t="str">
        <v>Restricted</v>
      </c>
      <c r="F197">
        <v>10</v>
      </c>
      <c r="G197" t="str">
        <v>MRMS</v>
      </c>
      <c r="H197">
        <v>5</v>
      </c>
      <c r="I197">
        <v>0</v>
      </c>
      <c r="J197">
        <v>0</v>
      </c>
      <c r="K197">
        <v>0</v>
      </c>
    </row>
    <row r="198" spans="1:11" x14ac:dyDescent="0.35">
      <c r="A198">
        <v>602</v>
      </c>
      <c r="B198" t="str">
        <v>Yes</v>
      </c>
      <c r="C198" t="str">
        <v>Yes</v>
      </c>
      <c r="D198" t="str">
        <v>No</v>
      </c>
      <c r="E198" t="str">
        <v>Restricted</v>
      </c>
      <c r="F198">
        <v>5</v>
      </c>
      <c r="G198" t="str">
        <v>MRMS</v>
      </c>
      <c r="H198">
        <v>2.5</v>
      </c>
      <c r="I198">
        <v>0</v>
      </c>
      <c r="J198">
        <v>0</v>
      </c>
      <c r="K198" t="str">
        <v>1 colony</v>
      </c>
    </row>
    <row r="199" spans="1:11" x14ac:dyDescent="0.35">
      <c r="A199">
        <v>604</v>
      </c>
      <c r="B199" t="str">
        <v>No</v>
      </c>
      <c r="C199" t="str">
        <v>Yes</v>
      </c>
      <c r="D199" t="str">
        <v>No</v>
      </c>
      <c r="E199" t="str">
        <v>Restricted</v>
      </c>
      <c r="F199">
        <v>3</v>
      </c>
      <c r="G199" t="str">
        <v>MRMS</v>
      </c>
      <c r="H199">
        <v>1.5</v>
      </c>
      <c r="I199">
        <v>0</v>
      </c>
      <c r="J199">
        <v>0</v>
      </c>
      <c r="K199" t="str">
        <v>One 1-spore colony</v>
      </c>
    </row>
    <row r="200" spans="1:11" x14ac:dyDescent="0.35">
      <c r="A200">
        <v>605</v>
      </c>
      <c r="B200" t="str">
        <v>No</v>
      </c>
      <c r="C200" t="str">
        <v>Yes</v>
      </c>
      <c r="D200" t="str">
        <v>No</v>
      </c>
      <c r="E200" t="str">
        <v>Mix</v>
      </c>
      <c r="F200">
        <v>20</v>
      </c>
      <c r="G200" t="str">
        <v>MRMS</v>
      </c>
      <c r="H200">
        <v>10</v>
      </c>
      <c r="I200">
        <v>0</v>
      </c>
      <c r="J200">
        <v>0</v>
      </c>
      <c r="K200">
        <v>0</v>
      </c>
    </row>
    <row r="201" spans="1:11" x14ac:dyDescent="0.35">
      <c r="A201">
        <v>609</v>
      </c>
      <c r="B201" t="str">
        <v>No</v>
      </c>
      <c r="C201" t="str">
        <v>Yes</v>
      </c>
      <c r="D201" t="str">
        <v>Yes</v>
      </c>
      <c r="E201" t="str">
        <v>Restricted</v>
      </c>
      <c r="F201">
        <v>15</v>
      </c>
      <c r="G201" t="str">
        <v>MRMS</v>
      </c>
      <c r="H201">
        <v>7.5</v>
      </c>
      <c r="I201">
        <v>0</v>
      </c>
      <c r="J201">
        <v>0</v>
      </c>
      <c r="K201" t="str">
        <v>13 colonies total, 1-3 spores</v>
      </c>
    </row>
    <row r="202" spans="1:11" x14ac:dyDescent="0.35">
      <c r="A202">
        <v>610</v>
      </c>
      <c r="B202" t="str">
        <v>No</v>
      </c>
      <c r="C202" t="str">
        <v>Yes</v>
      </c>
      <c r="D202" t="str">
        <v>No</v>
      </c>
      <c r="E202" t="str">
        <v>Restricted</v>
      </c>
      <c r="F202">
        <v>10</v>
      </c>
      <c r="G202" t="str">
        <v>MRMS</v>
      </c>
      <c r="H202">
        <v>5</v>
      </c>
      <c r="I202">
        <v>0</v>
      </c>
      <c r="J202">
        <v>0</v>
      </c>
      <c r="K202">
        <v>0</v>
      </c>
    </row>
    <row r="203" spans="1:11" x14ac:dyDescent="0.35">
      <c r="A203">
        <v>621</v>
      </c>
      <c r="B203" t="str">
        <v>No</v>
      </c>
      <c r="C203" t="str">
        <v>Yes</v>
      </c>
      <c r="D203" t="str">
        <v>No</v>
      </c>
      <c r="E203" t="str">
        <v>Restricted</v>
      </c>
      <c r="F203">
        <v>5</v>
      </c>
      <c r="G203" t="str">
        <v>MRMS</v>
      </c>
      <c r="H203">
        <v>2.5</v>
      </c>
      <c r="I203">
        <v>0</v>
      </c>
      <c r="J203">
        <v>0</v>
      </c>
      <c r="K203">
        <v>0</v>
      </c>
    </row>
    <row r="204" spans="1:11" x14ac:dyDescent="0.35">
      <c r="A204">
        <v>630</v>
      </c>
      <c r="B204" t="str">
        <v>No</v>
      </c>
      <c r="C204" t="str">
        <v>Yes</v>
      </c>
      <c r="D204" t="str">
        <v>Yes</v>
      </c>
      <c r="E204" t="str">
        <v>Restricted</v>
      </c>
      <c r="F204">
        <v>5</v>
      </c>
      <c r="G204" t="str">
        <v>MRMS</v>
      </c>
      <c r="H204">
        <v>2.5</v>
      </c>
      <c r="I204">
        <v>0</v>
      </c>
      <c r="J204">
        <v>0</v>
      </c>
      <c r="K204" t="str">
        <v>Restricted, limited colonies</v>
      </c>
    </row>
    <row r="205" spans="1:11" x14ac:dyDescent="0.35">
      <c r="A205">
        <v>661</v>
      </c>
      <c r="B205" t="str">
        <v>No</v>
      </c>
      <c r="C205" t="str">
        <v>Yes</v>
      </c>
      <c r="D205" t="str">
        <v>No</v>
      </c>
      <c r="E205" t="str">
        <v>Restricted</v>
      </c>
      <c r="F205">
        <v>10</v>
      </c>
      <c r="G205" t="str">
        <v>MRMS</v>
      </c>
      <c r="H205">
        <v>5</v>
      </c>
      <c r="I205">
        <v>0</v>
      </c>
      <c r="J205">
        <v>0</v>
      </c>
      <c r="K205" t="str">
        <v>Three active spore colonies</v>
      </c>
    </row>
    <row r="206" spans="1:11" x14ac:dyDescent="0.35">
      <c r="A206">
        <v>668</v>
      </c>
      <c r="B206" t="str">
        <v>No</v>
      </c>
      <c r="C206" t="str">
        <v>Yes</v>
      </c>
      <c r="D206" t="str">
        <v>No</v>
      </c>
      <c r="E206" t="str">
        <v>Restricted</v>
      </c>
      <c r="F206">
        <v>10</v>
      </c>
      <c r="G206" t="str">
        <v>MRMS</v>
      </c>
      <c r="H206">
        <v>5</v>
      </c>
      <c r="I206">
        <v>0</v>
      </c>
      <c r="J206">
        <v>0</v>
      </c>
      <c r="K206">
        <v>0</v>
      </c>
    </row>
    <row r="207" spans="1:11" x14ac:dyDescent="0.35">
      <c r="A207">
        <v>669</v>
      </c>
      <c r="B207" t="str">
        <v>No</v>
      </c>
      <c r="C207" t="str">
        <v>Yes</v>
      </c>
      <c r="D207" t="str">
        <v>Yes</v>
      </c>
      <c r="E207" t="str">
        <v>Restricted</v>
      </c>
      <c r="F207">
        <v>10</v>
      </c>
      <c r="G207" t="str">
        <v>MRMS</v>
      </c>
      <c r="H207">
        <v>5</v>
      </c>
      <c r="I207">
        <v>0</v>
      </c>
      <c r="J207">
        <v>0</v>
      </c>
      <c r="K207">
        <v>0</v>
      </c>
    </row>
    <row r="208" spans="1:11" x14ac:dyDescent="0.35">
      <c r="A208">
        <v>697</v>
      </c>
      <c r="B208" t="str">
        <v>No</v>
      </c>
      <c r="C208" t="str">
        <v>No</v>
      </c>
      <c r="D208" t="str">
        <v>No</v>
      </c>
      <c r="E208" t="str">
        <v>Restricted</v>
      </c>
      <c r="F208">
        <v>1</v>
      </c>
      <c r="G208" t="str">
        <v>MRMS</v>
      </c>
      <c r="H208">
        <v>0.5</v>
      </c>
      <c r="I208">
        <v>0</v>
      </c>
      <c r="J208">
        <v>0</v>
      </c>
      <c r="K208" t="str">
        <v>1 1-spore colony</v>
      </c>
    </row>
    <row r="209" spans="1:11" x14ac:dyDescent="0.35">
      <c r="A209">
        <v>746</v>
      </c>
      <c r="B209" t="str">
        <v>Yes</v>
      </c>
      <c r="C209" t="str">
        <v>No</v>
      </c>
      <c r="D209" t="str">
        <v>No</v>
      </c>
      <c r="E209" t="str">
        <v>Restricted</v>
      </c>
      <c r="F209">
        <v>5</v>
      </c>
      <c r="G209" t="str">
        <v>MRMS</v>
      </c>
      <c r="H209">
        <v>2.5</v>
      </c>
      <c r="I209">
        <v>0</v>
      </c>
      <c r="J209">
        <v>0</v>
      </c>
      <c r="K209" t="str">
        <v>One active spore colonies</v>
      </c>
    </row>
    <row r="210" spans="1:11" x14ac:dyDescent="0.35">
      <c r="A210">
        <v>63</v>
      </c>
      <c r="B210" t="str">
        <v>No</v>
      </c>
      <c r="C210" t="str">
        <v>Yes</v>
      </c>
      <c r="D210" t="str">
        <v>No</v>
      </c>
      <c r="E210" t="str">
        <v>Restricted</v>
      </c>
      <c r="F210">
        <v>20</v>
      </c>
      <c r="G210" t="str">
        <v>MS</v>
      </c>
      <c r="H210">
        <v>15</v>
      </c>
      <c r="I210">
        <v>0</v>
      </c>
      <c r="J210">
        <v>1</v>
      </c>
      <c r="K210">
        <v>0</v>
      </c>
    </row>
    <row r="211" spans="1:11" x14ac:dyDescent="0.35">
      <c r="A211">
        <v>79</v>
      </c>
      <c r="B211" t="str">
        <v>No</v>
      </c>
      <c r="C211" t="str">
        <v>Yes</v>
      </c>
      <c r="D211" t="str">
        <v>No</v>
      </c>
      <c r="E211" t="str">
        <v>Restricted</v>
      </c>
      <c r="F211">
        <v>20</v>
      </c>
      <c r="G211" t="str">
        <v>MS</v>
      </c>
      <c r="H211">
        <v>15</v>
      </c>
      <c r="I211">
        <v>0</v>
      </c>
      <c r="J211">
        <v>1</v>
      </c>
      <c r="K211">
        <v>0</v>
      </c>
    </row>
    <row r="212" spans="1:11" x14ac:dyDescent="0.35">
      <c r="A212">
        <v>100</v>
      </c>
      <c r="B212" t="str">
        <v>No</v>
      </c>
      <c r="C212" t="str">
        <v>Yes</v>
      </c>
      <c r="D212" t="str">
        <v>No</v>
      </c>
      <c r="E212" t="str">
        <v>Unrestricted</v>
      </c>
      <c r="F212">
        <v>30</v>
      </c>
      <c r="G212" t="str">
        <v>MS</v>
      </c>
      <c r="H212">
        <v>22.5</v>
      </c>
      <c r="I212">
        <v>0</v>
      </c>
      <c r="J212">
        <v>1</v>
      </c>
      <c r="K212" t="str">
        <v>Some unrestricted colonies (3+) with no immune response</v>
      </c>
    </row>
    <row r="213" spans="1:11" x14ac:dyDescent="0.35">
      <c r="A213">
        <v>228</v>
      </c>
      <c r="B213" t="str">
        <v>No</v>
      </c>
      <c r="C213" t="str">
        <v>Yes</v>
      </c>
      <c r="D213" t="str">
        <v>No</v>
      </c>
      <c r="E213" t="str">
        <v>Unrestricted</v>
      </c>
      <c r="F213">
        <v>50</v>
      </c>
      <c r="G213" t="str">
        <v>MS</v>
      </c>
      <c r="H213">
        <v>37.5</v>
      </c>
      <c r="I213">
        <v>0</v>
      </c>
      <c r="J213">
        <v>1</v>
      </c>
      <c r="K213" t="str">
        <v>Multiple colonies</v>
      </c>
    </row>
    <row r="214" spans="1:11" x14ac:dyDescent="0.35">
      <c r="A214">
        <v>249</v>
      </c>
      <c r="B214" t="str">
        <v>No</v>
      </c>
      <c r="C214" t="str">
        <v>Yes</v>
      </c>
      <c r="D214" t="str">
        <v>No</v>
      </c>
      <c r="E214" t="str">
        <v>Unrestricted</v>
      </c>
      <c r="F214">
        <v>10</v>
      </c>
      <c r="G214" t="str">
        <v>MS</v>
      </c>
      <c r="H214">
        <v>7.5</v>
      </c>
      <c r="I214">
        <v>0</v>
      </c>
      <c r="J214">
        <v>1</v>
      </c>
      <c r="K214" t="str">
        <v>Multiple colonies</v>
      </c>
    </row>
    <row r="215" spans="1:11" x14ac:dyDescent="0.35">
      <c r="A215">
        <v>287</v>
      </c>
      <c r="B215" t="str">
        <v>No</v>
      </c>
      <c r="C215" t="str">
        <v>Yes</v>
      </c>
      <c r="D215" t="str">
        <v>Yes</v>
      </c>
      <c r="E215" t="str">
        <v>Restricted</v>
      </c>
      <c r="F215">
        <v>10</v>
      </c>
      <c r="G215" t="str">
        <v>MS</v>
      </c>
      <c r="H215">
        <v>7.5</v>
      </c>
      <c r="I215">
        <v>0</v>
      </c>
      <c r="J215">
        <v>1</v>
      </c>
      <c r="K215" t="str">
        <v>On branch, limited immune response, distorted leaf shape from colony</v>
      </c>
    </row>
    <row r="216" spans="1:11" x14ac:dyDescent="0.35">
      <c r="A216">
        <v>290</v>
      </c>
      <c r="B216" t="str">
        <v>No</v>
      </c>
      <c r="C216" t="str">
        <v>Yes</v>
      </c>
      <c r="D216" t="str">
        <v>Yes</v>
      </c>
      <c r="E216" t="str">
        <v>Mix</v>
      </c>
      <c r="F216">
        <v>15</v>
      </c>
      <c r="G216" t="str">
        <v>MS</v>
      </c>
      <c r="H216">
        <v>11.25</v>
      </c>
      <c r="I216">
        <v>0</v>
      </c>
      <c r="J216">
        <v>1</v>
      </c>
      <c r="K216">
        <v>0</v>
      </c>
    </row>
    <row r="217" spans="1:11" x14ac:dyDescent="0.35">
      <c r="A217">
        <v>291</v>
      </c>
      <c r="B217" t="str">
        <v>No</v>
      </c>
      <c r="C217" t="str">
        <v>Yes</v>
      </c>
      <c r="D217" t="str">
        <v>Yes</v>
      </c>
      <c r="E217" t="str">
        <v>Restricted</v>
      </c>
      <c r="F217">
        <v>20</v>
      </c>
      <c r="G217" t="str">
        <v>MS</v>
      </c>
      <c r="H217">
        <v>15</v>
      </c>
      <c r="I217">
        <v>0</v>
      </c>
      <c r="J217">
        <v>1</v>
      </c>
      <c r="K217">
        <v>0</v>
      </c>
    </row>
    <row r="218" spans="1:11" x14ac:dyDescent="0.35">
      <c r="A218">
        <v>347</v>
      </c>
      <c r="B218" t="str">
        <v>Yes</v>
      </c>
      <c r="C218" t="str">
        <v>Yes</v>
      </c>
      <c r="D218" t="str">
        <v>No</v>
      </c>
      <c r="E218" t="str">
        <v>Restricted</v>
      </c>
      <c r="F218">
        <v>10</v>
      </c>
      <c r="G218" t="str">
        <v>MS</v>
      </c>
      <c r="H218">
        <v>7.5</v>
      </c>
      <c r="I218">
        <v>0</v>
      </c>
      <c r="J218">
        <v>1</v>
      </c>
      <c r="K218" t="str">
        <v>Few unrestricted colonies</v>
      </c>
    </row>
    <row r="219" spans="1:11" x14ac:dyDescent="0.35">
      <c r="A219">
        <v>371</v>
      </c>
      <c r="B219" t="str">
        <v>No</v>
      </c>
      <c r="C219" t="str">
        <v>Yes</v>
      </c>
      <c r="D219" t="str">
        <v>No</v>
      </c>
      <c r="E219" t="str">
        <v>Restricted</v>
      </c>
      <c r="F219">
        <v>5</v>
      </c>
      <c r="G219" t="str">
        <v>MS</v>
      </c>
      <c r="H219">
        <v>3.75</v>
      </c>
      <c r="I219">
        <v>0</v>
      </c>
      <c r="J219">
        <v>1</v>
      </c>
      <c r="K219" t="str">
        <v>Two active spore colonies</v>
      </c>
    </row>
    <row r="220" spans="1:11" x14ac:dyDescent="0.35">
      <c r="A220">
        <v>402</v>
      </c>
      <c r="B220" t="str">
        <v>No</v>
      </c>
      <c r="C220" t="str">
        <v>Yes</v>
      </c>
      <c r="D220" t="str">
        <v>No</v>
      </c>
      <c r="E220" t="str">
        <v>Unrestricted</v>
      </c>
      <c r="F220">
        <v>15</v>
      </c>
      <c r="G220" t="str">
        <v>MS</v>
      </c>
      <c r="H220">
        <v>11.25</v>
      </c>
      <c r="I220">
        <v>0</v>
      </c>
      <c r="J220">
        <v>1</v>
      </c>
      <c r="K220" t="str">
        <v>1 bigger colonies (7 spores)</v>
      </c>
    </row>
    <row r="221" spans="1:11" x14ac:dyDescent="0.35">
      <c r="A221">
        <v>525</v>
      </c>
      <c r="B221" t="str">
        <v>Yes</v>
      </c>
      <c r="C221" t="str">
        <v>Yes</v>
      </c>
      <c r="D221" t="str">
        <v>Yes</v>
      </c>
      <c r="E221" t="str">
        <v>Mix</v>
      </c>
      <c r="F221">
        <v>10</v>
      </c>
      <c r="G221" t="str">
        <v>MS</v>
      </c>
      <c r="H221">
        <v>7.5</v>
      </c>
      <c r="I221">
        <v>0</v>
      </c>
      <c r="J221">
        <v>1</v>
      </c>
      <c r="K221">
        <v>0</v>
      </c>
    </row>
    <row r="222" spans="1:11" x14ac:dyDescent="0.35">
      <c r="A222">
        <v>699</v>
      </c>
      <c r="B222" t="str">
        <v>Yes</v>
      </c>
      <c r="C222" t="str">
        <v>Yes</v>
      </c>
      <c r="D222" t="str">
        <v>No</v>
      </c>
      <c r="E222" t="str">
        <v>Mix</v>
      </c>
      <c r="F222">
        <v>10</v>
      </c>
      <c r="G222" t="str">
        <v>MS</v>
      </c>
      <c r="H222">
        <v>7.5</v>
      </c>
      <c r="I222">
        <v>0</v>
      </c>
      <c r="J222">
        <v>1</v>
      </c>
      <c r="K222">
        <v>0</v>
      </c>
    </row>
    <row r="223" spans="1:11" x14ac:dyDescent="0.35">
      <c r="A223">
        <v>2</v>
      </c>
      <c r="B223" t="str">
        <v>No</v>
      </c>
      <c r="C223" t="str">
        <v>Yes</v>
      </c>
      <c r="D223" t="str">
        <v>No</v>
      </c>
      <c r="E223" t="str">
        <v>No</v>
      </c>
      <c r="F223">
        <v>5</v>
      </c>
      <c r="G223" t="str">
        <v>R</v>
      </c>
      <c r="H223">
        <v>1.25</v>
      </c>
      <c r="I223">
        <v>0</v>
      </c>
      <c r="J223">
        <v>0</v>
      </c>
      <c r="K223">
        <v>0</v>
      </c>
    </row>
    <row r="224" spans="1:11" x14ac:dyDescent="0.35">
      <c r="A224">
        <v>3</v>
      </c>
      <c r="B224" t="str">
        <v>No</v>
      </c>
      <c r="C224" t="str">
        <v>Yes</v>
      </c>
      <c r="D224" t="str">
        <v>No</v>
      </c>
      <c r="E224" t="str">
        <v>No</v>
      </c>
      <c r="F224">
        <v>1</v>
      </c>
      <c r="G224" t="str">
        <v>R</v>
      </c>
      <c r="H224">
        <v>0.25</v>
      </c>
      <c r="I224">
        <v>0</v>
      </c>
      <c r="J224">
        <v>0</v>
      </c>
      <c r="K224" t="str">
        <v>1 spot</v>
      </c>
    </row>
    <row r="225" spans="1:11" x14ac:dyDescent="0.35">
      <c r="A225">
        <v>4</v>
      </c>
      <c r="B225" t="str">
        <v>No</v>
      </c>
      <c r="C225" t="str">
        <v>Yes</v>
      </c>
      <c r="D225" t="str">
        <v>Yes</v>
      </c>
      <c r="E225" t="str">
        <v>No</v>
      </c>
      <c r="F225">
        <v>5</v>
      </c>
      <c r="G225" t="str">
        <v>R</v>
      </c>
      <c r="H225">
        <v>1.25</v>
      </c>
      <c r="I225">
        <v>0</v>
      </c>
      <c r="J225">
        <v>0</v>
      </c>
      <c r="K225">
        <v>0</v>
      </c>
    </row>
    <row r="226" spans="1:11" x14ac:dyDescent="0.35">
      <c r="A226">
        <v>8</v>
      </c>
      <c r="B226" t="str">
        <v>No</v>
      </c>
      <c r="C226" t="str">
        <v>Yes</v>
      </c>
      <c r="D226" t="str">
        <v>No</v>
      </c>
      <c r="E226" t="str">
        <v>No</v>
      </c>
      <c r="F226">
        <v>5</v>
      </c>
      <c r="G226" t="str">
        <v>R</v>
      </c>
      <c r="H226">
        <v>1.25</v>
      </c>
      <c r="I226">
        <v>0</v>
      </c>
      <c r="J226">
        <v>0</v>
      </c>
      <c r="K226">
        <v>0</v>
      </c>
    </row>
    <row r="227" spans="1:11" x14ac:dyDescent="0.35">
      <c r="A227">
        <v>21</v>
      </c>
      <c r="B227" t="str">
        <v>No</v>
      </c>
      <c r="C227" t="str">
        <v>Yes</v>
      </c>
      <c r="D227" t="str">
        <v>No</v>
      </c>
      <c r="E227" t="str">
        <v>No</v>
      </c>
      <c r="F227">
        <v>5</v>
      </c>
      <c r="G227" t="str">
        <v>R</v>
      </c>
      <c r="H227">
        <v>1.25</v>
      </c>
      <c r="I227">
        <v>0</v>
      </c>
      <c r="J227">
        <v>0</v>
      </c>
      <c r="K227">
        <v>0</v>
      </c>
    </row>
    <row r="228" spans="1:11" x14ac:dyDescent="0.35">
      <c r="A228">
        <v>24</v>
      </c>
      <c r="B228" t="str">
        <v>No</v>
      </c>
      <c r="C228" t="str">
        <v>Yes</v>
      </c>
      <c r="D228" t="str">
        <v>No</v>
      </c>
      <c r="E228" t="str">
        <v>No</v>
      </c>
      <c r="F228">
        <v>15</v>
      </c>
      <c r="G228" t="str">
        <v>R</v>
      </c>
      <c r="H228">
        <v>3.75</v>
      </c>
      <c r="I228">
        <v>0</v>
      </c>
      <c r="J228">
        <v>0</v>
      </c>
      <c r="K228" t="str">
        <v>Very limited sporulation</v>
      </c>
    </row>
    <row r="229" spans="1:11" x14ac:dyDescent="0.35">
      <c r="A229">
        <v>25</v>
      </c>
      <c r="B229" t="str">
        <v>Yes</v>
      </c>
      <c r="C229" t="str">
        <v>Yes</v>
      </c>
      <c r="D229" t="str">
        <v>Yes</v>
      </c>
      <c r="E229" t="str">
        <v>No</v>
      </c>
      <c r="F229">
        <v>10</v>
      </c>
      <c r="G229" t="str">
        <v>R</v>
      </c>
      <c r="H229">
        <v>2.5</v>
      </c>
      <c r="I229">
        <v>0</v>
      </c>
      <c r="J229">
        <v>0</v>
      </c>
      <c r="K229">
        <v>0</v>
      </c>
    </row>
    <row r="230" spans="1:11" x14ac:dyDescent="0.35">
      <c r="A230">
        <v>27</v>
      </c>
      <c r="B230" t="str">
        <v>Yes</v>
      </c>
      <c r="C230" t="str">
        <v>No</v>
      </c>
      <c r="D230" t="str">
        <v>No</v>
      </c>
      <c r="E230" t="str">
        <v>No</v>
      </c>
      <c r="F230">
        <v>5</v>
      </c>
      <c r="G230" t="str">
        <v>R</v>
      </c>
      <c r="H230">
        <v>1.25</v>
      </c>
      <c r="I230">
        <v>0</v>
      </c>
      <c r="J230">
        <v>0</v>
      </c>
      <c r="K230">
        <v>0</v>
      </c>
    </row>
    <row r="231" spans="1:11" x14ac:dyDescent="0.35">
      <c r="A231">
        <v>48</v>
      </c>
      <c r="B231" t="str">
        <v>Yes</v>
      </c>
      <c r="C231" t="str">
        <v>Yes</v>
      </c>
      <c r="D231" t="str">
        <v>Yes</v>
      </c>
      <c r="E231" t="str">
        <v>No</v>
      </c>
      <c r="F231">
        <v>15</v>
      </c>
      <c r="G231" t="str">
        <v>R</v>
      </c>
      <c r="H231">
        <v>3.75</v>
      </c>
      <c r="I231">
        <v>0</v>
      </c>
      <c r="J231">
        <v>0</v>
      </c>
      <c r="K231">
        <v>0</v>
      </c>
    </row>
    <row r="232" spans="1:11" x14ac:dyDescent="0.35">
      <c r="A232">
        <v>49</v>
      </c>
      <c r="B232" t="str">
        <v>Yes</v>
      </c>
      <c r="C232" t="str">
        <v>No</v>
      </c>
      <c r="D232" t="str">
        <v>No</v>
      </c>
      <c r="E232" t="str">
        <v>No</v>
      </c>
      <c r="F232">
        <v>10</v>
      </c>
      <c r="G232" t="str">
        <v>R</v>
      </c>
      <c r="H232">
        <v>2.5</v>
      </c>
      <c r="I232">
        <v>0</v>
      </c>
      <c r="J232">
        <v>0</v>
      </c>
      <c r="K232">
        <v>0</v>
      </c>
    </row>
    <row r="233" spans="1:11" x14ac:dyDescent="0.35">
      <c r="A233">
        <v>50</v>
      </c>
      <c r="B233" t="str">
        <v>Yes</v>
      </c>
      <c r="C233" t="str">
        <v>No</v>
      </c>
      <c r="D233" t="str">
        <v>No</v>
      </c>
      <c r="E233" t="str">
        <v>No</v>
      </c>
      <c r="F233">
        <v>5</v>
      </c>
      <c r="G233" t="str">
        <v>R</v>
      </c>
      <c r="H233">
        <v>1.25</v>
      </c>
      <c r="I233">
        <v>0</v>
      </c>
      <c r="J233">
        <v>0</v>
      </c>
      <c r="K233">
        <v>0</v>
      </c>
    </row>
    <row r="234" spans="1:11" x14ac:dyDescent="0.35">
      <c r="A234">
        <v>68</v>
      </c>
      <c r="B234" t="str">
        <v>No</v>
      </c>
      <c r="C234" t="str">
        <v>Yes</v>
      </c>
      <c r="D234" t="str">
        <v>No</v>
      </c>
      <c r="E234" t="str">
        <v>No</v>
      </c>
      <c r="F234">
        <v>5</v>
      </c>
      <c r="G234" t="str">
        <v>R</v>
      </c>
      <c r="H234">
        <v>1.25</v>
      </c>
      <c r="I234">
        <v>0</v>
      </c>
      <c r="J234">
        <v>0</v>
      </c>
      <c r="K234">
        <v>0</v>
      </c>
    </row>
    <row r="235" spans="1:11" x14ac:dyDescent="0.35">
      <c r="A235">
        <v>71</v>
      </c>
      <c r="B235" t="str">
        <v>No</v>
      </c>
      <c r="C235" t="str">
        <v>Yes</v>
      </c>
      <c r="D235" t="str">
        <v>No</v>
      </c>
      <c r="E235" t="str">
        <v>No</v>
      </c>
      <c r="F235">
        <v>5</v>
      </c>
      <c r="G235" t="str">
        <v>R</v>
      </c>
      <c r="H235">
        <v>1.25</v>
      </c>
      <c r="I235">
        <v>0</v>
      </c>
      <c r="J235">
        <v>0</v>
      </c>
      <c r="K235">
        <v>0</v>
      </c>
    </row>
    <row r="236" spans="1:11" x14ac:dyDescent="0.35">
      <c r="A236">
        <v>76</v>
      </c>
      <c r="B236" t="str">
        <v>No</v>
      </c>
      <c r="C236" t="str">
        <v>Yes</v>
      </c>
      <c r="D236" t="str">
        <v>No</v>
      </c>
      <c r="E236" t="str">
        <v>No</v>
      </c>
      <c r="F236">
        <v>5</v>
      </c>
      <c r="G236" t="str">
        <v>R</v>
      </c>
      <c r="H236">
        <v>1.25</v>
      </c>
      <c r="I236">
        <v>0</v>
      </c>
      <c r="J236">
        <v>0</v>
      </c>
      <c r="K236">
        <v>0</v>
      </c>
    </row>
    <row r="237" spans="1:11" x14ac:dyDescent="0.35">
      <c r="A237">
        <v>77</v>
      </c>
      <c r="B237" t="str">
        <v>No</v>
      </c>
      <c r="C237" t="str">
        <v>Yes</v>
      </c>
      <c r="D237" t="str">
        <v>No</v>
      </c>
      <c r="E237" t="str">
        <v>No</v>
      </c>
      <c r="F237">
        <v>10</v>
      </c>
      <c r="G237" t="str">
        <v>R</v>
      </c>
      <c r="H237">
        <v>2.5</v>
      </c>
      <c r="I237">
        <v>0</v>
      </c>
      <c r="J237">
        <v>0</v>
      </c>
      <c r="K237">
        <v>0</v>
      </c>
    </row>
    <row r="238" spans="1:11" x14ac:dyDescent="0.35">
      <c r="A238">
        <v>80</v>
      </c>
      <c r="B238" t="str">
        <v>No</v>
      </c>
      <c r="C238" t="str">
        <v>Yes</v>
      </c>
      <c r="D238" t="str">
        <v>No</v>
      </c>
      <c r="E238" t="str">
        <v>No</v>
      </c>
      <c r="F238">
        <v>5</v>
      </c>
      <c r="G238" t="str">
        <v>R</v>
      </c>
      <c r="H238">
        <v>1.25</v>
      </c>
      <c r="I238">
        <v>0</v>
      </c>
      <c r="J238">
        <v>0</v>
      </c>
      <c r="K238">
        <v>0</v>
      </c>
    </row>
    <row r="239" spans="1:11" x14ac:dyDescent="0.35">
      <c r="A239">
        <v>84</v>
      </c>
      <c r="B239" t="str">
        <v>No</v>
      </c>
      <c r="C239" t="str">
        <v>Yes</v>
      </c>
      <c r="D239" t="str">
        <v>No</v>
      </c>
      <c r="E239" t="str">
        <v>No</v>
      </c>
      <c r="F239">
        <v>5</v>
      </c>
      <c r="G239" t="str">
        <v>R</v>
      </c>
      <c r="H239">
        <v>1.25</v>
      </c>
      <c r="I239">
        <v>0</v>
      </c>
      <c r="J239">
        <v>0</v>
      </c>
      <c r="K239">
        <v>0</v>
      </c>
    </row>
    <row r="240" spans="1:11" x14ac:dyDescent="0.35">
      <c r="A240">
        <v>87</v>
      </c>
      <c r="B240" t="str">
        <v>No</v>
      </c>
      <c r="C240" t="str">
        <v>Yes</v>
      </c>
      <c r="D240" t="str">
        <v>No</v>
      </c>
      <c r="E240" t="str">
        <v>No</v>
      </c>
      <c r="F240">
        <v>10</v>
      </c>
      <c r="G240" t="str">
        <v>R</v>
      </c>
      <c r="H240">
        <v>2.5</v>
      </c>
      <c r="I240">
        <v>0</v>
      </c>
      <c r="J240">
        <v>0</v>
      </c>
      <c r="K240">
        <v>0</v>
      </c>
    </row>
    <row r="241" spans="1:11" x14ac:dyDescent="0.35">
      <c r="A241">
        <v>97</v>
      </c>
      <c r="B241" t="str">
        <v>No</v>
      </c>
      <c r="C241" t="str">
        <v>Yes</v>
      </c>
      <c r="D241" t="str">
        <v>No</v>
      </c>
      <c r="E241" t="str">
        <v>No</v>
      </c>
      <c r="F241">
        <v>5</v>
      </c>
      <c r="G241" t="str">
        <v>R</v>
      </c>
      <c r="H241">
        <v>1.25</v>
      </c>
      <c r="I241">
        <v>0</v>
      </c>
      <c r="J241">
        <v>0</v>
      </c>
      <c r="K241" t="str">
        <v>Couple chlorotic spots</v>
      </c>
    </row>
    <row r="242" spans="1:11" x14ac:dyDescent="0.35">
      <c r="A242">
        <v>104</v>
      </c>
      <c r="B242" t="str">
        <v>No</v>
      </c>
      <c r="C242" t="str">
        <v>Yes</v>
      </c>
      <c r="D242" t="str">
        <v>No</v>
      </c>
      <c r="E242" t="str">
        <v>No</v>
      </c>
      <c r="F242">
        <v>5</v>
      </c>
      <c r="G242" t="str">
        <v>R</v>
      </c>
      <c r="H242">
        <v>1.25</v>
      </c>
      <c r="I242">
        <v>0</v>
      </c>
      <c r="J242">
        <v>0</v>
      </c>
      <c r="K242">
        <v>0</v>
      </c>
    </row>
    <row r="243" spans="1:11" x14ac:dyDescent="0.35">
      <c r="A243">
        <v>121</v>
      </c>
      <c r="B243" t="str">
        <v>Yes</v>
      </c>
      <c r="C243" t="str">
        <v>Yes</v>
      </c>
      <c r="D243" t="str">
        <v>Yes</v>
      </c>
      <c r="E243" t="str">
        <v>No</v>
      </c>
      <c r="F243">
        <v>20</v>
      </c>
      <c r="G243" t="str">
        <v>R</v>
      </c>
      <c r="H243">
        <v>5</v>
      </c>
      <c r="I243">
        <v>0</v>
      </c>
      <c r="J243">
        <v>0</v>
      </c>
      <c r="K243" t="str">
        <v>Kink</v>
      </c>
    </row>
    <row r="244" spans="1:11" x14ac:dyDescent="0.35">
      <c r="A244">
        <v>139</v>
      </c>
      <c r="B244" t="str">
        <v>No</v>
      </c>
      <c r="C244" t="str">
        <v>No</v>
      </c>
      <c r="D244" t="str">
        <v>Yes</v>
      </c>
      <c r="E244" t="str">
        <v>No</v>
      </c>
      <c r="F244">
        <v>1</v>
      </c>
      <c r="G244" t="str">
        <v>R</v>
      </c>
      <c r="H244">
        <v>0.25</v>
      </c>
      <c r="I244">
        <v>0</v>
      </c>
      <c r="J244">
        <v>0</v>
      </c>
      <c r="K244" t="str">
        <v>One spot</v>
      </c>
    </row>
    <row r="245" spans="1:11" x14ac:dyDescent="0.35">
      <c r="A245">
        <v>150</v>
      </c>
      <c r="B245" t="str">
        <v>No</v>
      </c>
      <c r="C245" t="str">
        <v>Yes</v>
      </c>
      <c r="D245" t="str">
        <v>No</v>
      </c>
      <c r="E245" t="str">
        <v>No</v>
      </c>
      <c r="F245">
        <v>1</v>
      </c>
      <c r="G245" t="str">
        <v>R</v>
      </c>
      <c r="H245">
        <v>0.25</v>
      </c>
      <c r="I245">
        <v>0</v>
      </c>
      <c r="J245">
        <v>0</v>
      </c>
      <c r="K245" t="str">
        <v>One spot</v>
      </c>
    </row>
    <row r="246" spans="1:11" x14ac:dyDescent="0.35">
      <c r="A246">
        <v>152</v>
      </c>
      <c r="B246" t="str">
        <v>No</v>
      </c>
      <c r="C246" t="str">
        <v>Yes</v>
      </c>
      <c r="D246" t="str">
        <v>No</v>
      </c>
      <c r="E246" t="str">
        <v>No</v>
      </c>
      <c r="F246">
        <v>5</v>
      </c>
      <c r="G246" t="str">
        <v>R</v>
      </c>
      <c r="H246">
        <v>1.25</v>
      </c>
      <c r="I246">
        <v>0</v>
      </c>
      <c r="J246">
        <v>0</v>
      </c>
      <c r="K246">
        <v>0</v>
      </c>
    </row>
    <row r="247" spans="1:11" x14ac:dyDescent="0.35">
      <c r="A247">
        <v>195</v>
      </c>
      <c r="B247" t="str">
        <v>Yes</v>
      </c>
      <c r="C247" t="str">
        <v>No</v>
      </c>
      <c r="D247" t="str">
        <v>No</v>
      </c>
      <c r="E247" t="str">
        <v>No</v>
      </c>
      <c r="F247">
        <v>5</v>
      </c>
      <c r="G247" t="str">
        <v>R</v>
      </c>
      <c r="H247">
        <v>1.25</v>
      </c>
      <c r="I247">
        <v>0</v>
      </c>
      <c r="J247">
        <v>0</v>
      </c>
      <c r="K247">
        <v>0</v>
      </c>
    </row>
    <row r="248" spans="1:11" x14ac:dyDescent="0.35">
      <c r="A248">
        <v>200</v>
      </c>
      <c r="B248" t="str">
        <v>Yes</v>
      </c>
      <c r="C248" t="str">
        <v>No</v>
      </c>
      <c r="D248" t="str">
        <v>No</v>
      </c>
      <c r="E248" t="str">
        <v>No</v>
      </c>
      <c r="F248">
        <v>10</v>
      </c>
      <c r="G248" t="str">
        <v>R</v>
      </c>
      <c r="H248">
        <v>2.5</v>
      </c>
      <c r="I248">
        <v>0</v>
      </c>
      <c r="J248">
        <v>0</v>
      </c>
      <c r="K248">
        <v>0</v>
      </c>
    </row>
    <row r="249" spans="1:11" x14ac:dyDescent="0.35">
      <c r="A249">
        <v>213</v>
      </c>
      <c r="B249" t="str">
        <v>Yes</v>
      </c>
      <c r="C249" t="str">
        <v>No</v>
      </c>
      <c r="D249" t="str">
        <v>No</v>
      </c>
      <c r="E249" t="str">
        <v>No</v>
      </c>
      <c r="F249">
        <v>5</v>
      </c>
      <c r="G249" t="str">
        <v>R</v>
      </c>
      <c r="H249">
        <v>1.25</v>
      </c>
      <c r="I249">
        <v>0</v>
      </c>
      <c r="J249">
        <v>0</v>
      </c>
      <c r="K249">
        <v>0</v>
      </c>
    </row>
    <row r="250" spans="1:11" x14ac:dyDescent="0.35">
      <c r="A250">
        <v>226</v>
      </c>
      <c r="B250" t="str">
        <v>No</v>
      </c>
      <c r="C250" t="str">
        <v>Yes</v>
      </c>
      <c r="D250" t="str">
        <v>No</v>
      </c>
      <c r="E250" t="str">
        <v>No</v>
      </c>
      <c r="F250">
        <v>5</v>
      </c>
      <c r="G250" t="str">
        <v>R</v>
      </c>
      <c r="H250">
        <v>1.25</v>
      </c>
      <c r="I250">
        <v>0</v>
      </c>
      <c r="J250">
        <v>0</v>
      </c>
      <c r="K250">
        <v>0</v>
      </c>
    </row>
    <row r="251" spans="1:11" x14ac:dyDescent="0.35">
      <c r="A251">
        <v>308</v>
      </c>
      <c r="B251" t="str">
        <v>No</v>
      </c>
      <c r="C251" t="str">
        <v>Yes</v>
      </c>
      <c r="D251" t="str">
        <v>No</v>
      </c>
      <c r="E251" t="str">
        <v>No</v>
      </c>
      <c r="F251">
        <v>5</v>
      </c>
      <c r="G251" t="str">
        <v>R</v>
      </c>
      <c r="H251">
        <v>1.25</v>
      </c>
      <c r="I251">
        <v>0</v>
      </c>
      <c r="J251">
        <v>0</v>
      </c>
      <c r="K251">
        <v>0</v>
      </c>
    </row>
    <row r="252" spans="1:11" x14ac:dyDescent="0.35">
      <c r="A252">
        <v>329</v>
      </c>
      <c r="B252" t="str">
        <v>No</v>
      </c>
      <c r="C252" t="str">
        <v>Yes</v>
      </c>
      <c r="D252" t="str">
        <v>No</v>
      </c>
      <c r="E252" t="str">
        <v>No</v>
      </c>
      <c r="F252">
        <v>5</v>
      </c>
      <c r="G252" t="str">
        <v>R</v>
      </c>
      <c r="H252">
        <v>1.25</v>
      </c>
      <c r="I252">
        <v>0</v>
      </c>
      <c r="J252">
        <v>0</v>
      </c>
      <c r="K252">
        <v>0</v>
      </c>
    </row>
    <row r="253" spans="1:11" x14ac:dyDescent="0.35">
      <c r="A253">
        <v>343</v>
      </c>
      <c r="B253" t="str">
        <v>No</v>
      </c>
      <c r="C253" t="str">
        <v>Yes</v>
      </c>
      <c r="D253" t="str">
        <v>No</v>
      </c>
      <c r="E253" t="str">
        <v>No</v>
      </c>
      <c r="F253">
        <v>1</v>
      </c>
      <c r="G253" t="str">
        <v>R</v>
      </c>
      <c r="H253">
        <v>0.25</v>
      </c>
      <c r="I253">
        <v>0</v>
      </c>
      <c r="J253">
        <v>0</v>
      </c>
      <c r="K253" t="str">
        <v>Possibly not rust caused response</v>
      </c>
    </row>
    <row r="254" spans="1:11" x14ac:dyDescent="0.35">
      <c r="A254">
        <v>368</v>
      </c>
      <c r="B254" t="str">
        <v>No</v>
      </c>
      <c r="C254" t="str">
        <v>Yes</v>
      </c>
      <c r="D254" t="str">
        <v>No</v>
      </c>
      <c r="E254" t="str">
        <v>No</v>
      </c>
      <c r="F254">
        <v>1</v>
      </c>
      <c r="G254" t="str">
        <v>R</v>
      </c>
      <c r="H254">
        <v>0.25</v>
      </c>
      <c r="I254">
        <v>0</v>
      </c>
      <c r="J254">
        <v>0</v>
      </c>
      <c r="K254">
        <v>0</v>
      </c>
    </row>
    <row r="255" spans="1:11" x14ac:dyDescent="0.35">
      <c r="A255">
        <v>379</v>
      </c>
      <c r="B255" t="str">
        <v>No</v>
      </c>
      <c r="C255" t="str">
        <v>No</v>
      </c>
      <c r="D255" t="str">
        <v>Yes</v>
      </c>
      <c r="E255" t="str">
        <v>No</v>
      </c>
      <c r="F255">
        <v>20</v>
      </c>
      <c r="G255" t="str">
        <v>R</v>
      </c>
      <c r="H255">
        <v>5</v>
      </c>
      <c r="I255">
        <v>0</v>
      </c>
      <c r="J255">
        <v>0</v>
      </c>
      <c r="K255" t="str">
        <v>Bad necrosis</v>
      </c>
    </row>
    <row r="256" spans="1:11" x14ac:dyDescent="0.35">
      <c r="A256">
        <v>380</v>
      </c>
      <c r="B256" t="str">
        <v>No</v>
      </c>
      <c r="C256" t="str">
        <v>Yes</v>
      </c>
      <c r="D256" t="str">
        <v>Yes</v>
      </c>
      <c r="E256" t="str">
        <v>No</v>
      </c>
      <c r="F256">
        <v>5</v>
      </c>
      <c r="G256" t="str">
        <v>R</v>
      </c>
      <c r="H256">
        <v>1.25</v>
      </c>
      <c r="I256">
        <v>0</v>
      </c>
      <c r="J256">
        <v>0</v>
      </c>
      <c r="K256">
        <v>0</v>
      </c>
    </row>
    <row r="257" spans="1:11" x14ac:dyDescent="0.35">
      <c r="A257">
        <v>381</v>
      </c>
      <c r="B257" t="str">
        <v>No</v>
      </c>
      <c r="C257" t="str">
        <v>Yes</v>
      </c>
      <c r="D257" t="str">
        <v>No</v>
      </c>
      <c r="E257" t="str">
        <v>No</v>
      </c>
      <c r="F257">
        <v>5</v>
      </c>
      <c r="G257" t="str">
        <v>R</v>
      </c>
      <c r="H257">
        <v>1.25</v>
      </c>
      <c r="I257">
        <v>0</v>
      </c>
      <c r="J257">
        <v>0</v>
      </c>
      <c r="K257">
        <v>0</v>
      </c>
    </row>
    <row r="258" spans="1:11" x14ac:dyDescent="0.35">
      <c r="A258">
        <v>399</v>
      </c>
      <c r="B258" t="str">
        <v>No</v>
      </c>
      <c r="C258" t="str">
        <v>No</v>
      </c>
      <c r="D258" t="str">
        <v>Yes</v>
      </c>
      <c r="E258" t="str">
        <v>No</v>
      </c>
      <c r="F258">
        <v>5</v>
      </c>
      <c r="G258" t="str">
        <v>R</v>
      </c>
      <c r="H258">
        <v>1.25</v>
      </c>
      <c r="I258">
        <v>0</v>
      </c>
      <c r="J258">
        <v>0</v>
      </c>
      <c r="K258">
        <v>0</v>
      </c>
    </row>
    <row r="259" spans="1:11" x14ac:dyDescent="0.35">
      <c r="A259">
        <v>403</v>
      </c>
      <c r="B259" t="str">
        <v>No</v>
      </c>
      <c r="C259" t="str">
        <v>Yes</v>
      </c>
      <c r="D259" t="str">
        <v>No</v>
      </c>
      <c r="E259" t="str">
        <v>No</v>
      </c>
      <c r="F259">
        <v>1</v>
      </c>
      <c r="G259" t="str">
        <v>R</v>
      </c>
      <c r="H259">
        <v>0.25</v>
      </c>
      <c r="I259">
        <v>0</v>
      </c>
      <c r="J259">
        <v>0</v>
      </c>
      <c r="K259" t="str">
        <v>1 chlorotic spot</v>
      </c>
    </row>
    <row r="260" spans="1:11" x14ac:dyDescent="0.35">
      <c r="A260">
        <v>404</v>
      </c>
      <c r="B260" t="str">
        <v>No</v>
      </c>
      <c r="C260" t="str">
        <v>Yes</v>
      </c>
      <c r="D260" t="str">
        <v>No</v>
      </c>
      <c r="E260" t="str">
        <v>No</v>
      </c>
      <c r="F260">
        <v>5</v>
      </c>
      <c r="G260" t="str">
        <v>R</v>
      </c>
      <c r="H260">
        <v>1.25</v>
      </c>
      <c r="I260">
        <v>0</v>
      </c>
      <c r="J260">
        <v>0</v>
      </c>
      <c r="K260">
        <v>0</v>
      </c>
    </row>
    <row r="261" spans="1:11" x14ac:dyDescent="0.35">
      <c r="A261">
        <v>425</v>
      </c>
      <c r="B261" t="str">
        <v>No</v>
      </c>
      <c r="C261" t="str">
        <v>Yes</v>
      </c>
      <c r="D261" t="str">
        <v>No</v>
      </c>
      <c r="E261" t="str">
        <v>No</v>
      </c>
      <c r="F261">
        <v>10</v>
      </c>
      <c r="G261" t="str">
        <v>R</v>
      </c>
      <c r="H261">
        <v>2.5</v>
      </c>
      <c r="I261">
        <v>0</v>
      </c>
      <c r="J261">
        <v>0</v>
      </c>
      <c r="K261">
        <v>0</v>
      </c>
    </row>
    <row r="262" spans="1:11" x14ac:dyDescent="0.35">
      <c r="A262">
        <v>436</v>
      </c>
      <c r="B262" t="str">
        <v>No</v>
      </c>
      <c r="C262" t="str">
        <v>Yes</v>
      </c>
      <c r="D262" t="str">
        <v>Yes</v>
      </c>
      <c r="E262" t="str">
        <v>No</v>
      </c>
      <c r="F262">
        <v>10</v>
      </c>
      <c r="G262" t="str">
        <v>R</v>
      </c>
      <c r="H262">
        <v>2.5</v>
      </c>
      <c r="I262">
        <v>0</v>
      </c>
      <c r="J262">
        <v>0</v>
      </c>
      <c r="K262">
        <v>0</v>
      </c>
    </row>
    <row r="263" spans="1:11" x14ac:dyDescent="0.35">
      <c r="A263">
        <v>451</v>
      </c>
      <c r="B263" t="str">
        <v>Yes</v>
      </c>
      <c r="C263" t="str">
        <v>No</v>
      </c>
      <c r="D263" t="str">
        <v>Yes</v>
      </c>
      <c r="E263" t="str">
        <v>No</v>
      </c>
      <c r="F263">
        <v>5</v>
      </c>
      <c r="G263" t="str">
        <v>R</v>
      </c>
      <c r="H263">
        <v>1.25</v>
      </c>
      <c r="I263">
        <v>0</v>
      </c>
      <c r="J263">
        <v>0</v>
      </c>
      <c r="K263">
        <v>0</v>
      </c>
    </row>
    <row r="264" spans="1:11" x14ac:dyDescent="0.35">
      <c r="A264">
        <v>454</v>
      </c>
      <c r="B264" t="str">
        <v>No</v>
      </c>
      <c r="C264" t="str">
        <v>No</v>
      </c>
      <c r="D264" t="str">
        <v>Yes</v>
      </c>
      <c r="E264" t="str">
        <v>No</v>
      </c>
      <c r="F264">
        <v>1</v>
      </c>
      <c r="G264" t="str">
        <v>R</v>
      </c>
      <c r="H264">
        <v>0.25</v>
      </c>
      <c r="I264">
        <v>0</v>
      </c>
      <c r="J264">
        <v>0</v>
      </c>
      <c r="K264">
        <v>0</v>
      </c>
    </row>
    <row r="265" spans="1:11" x14ac:dyDescent="0.35">
      <c r="A265">
        <v>455</v>
      </c>
      <c r="B265" t="str">
        <v>No</v>
      </c>
      <c r="C265" t="str">
        <v>Yes</v>
      </c>
      <c r="D265" t="str">
        <v>No</v>
      </c>
      <c r="E265" t="str">
        <v>No</v>
      </c>
      <c r="F265">
        <v>10</v>
      </c>
      <c r="G265" t="str">
        <v>R</v>
      </c>
      <c r="H265">
        <v>2.5</v>
      </c>
      <c r="I265">
        <v>0</v>
      </c>
      <c r="J265">
        <v>0</v>
      </c>
      <c r="K265">
        <v>0</v>
      </c>
    </row>
    <row r="266" spans="1:11" x14ac:dyDescent="0.35">
      <c r="A266">
        <v>458</v>
      </c>
      <c r="B266" t="str">
        <v>No</v>
      </c>
      <c r="C266" t="str">
        <v>Yes</v>
      </c>
      <c r="D266" t="str">
        <v>No</v>
      </c>
      <c r="E266" t="str">
        <v>No</v>
      </c>
      <c r="F266">
        <v>5</v>
      </c>
      <c r="G266" t="str">
        <v>R</v>
      </c>
      <c r="H266">
        <v>1.25</v>
      </c>
      <c r="I266">
        <v>0</v>
      </c>
      <c r="J266">
        <v>0</v>
      </c>
      <c r="K266">
        <v>0</v>
      </c>
    </row>
    <row r="267" spans="1:11" x14ac:dyDescent="0.35">
      <c r="A267">
        <v>475</v>
      </c>
      <c r="B267" t="str">
        <v>No</v>
      </c>
      <c r="C267" t="str">
        <v>Yes</v>
      </c>
      <c r="D267" t="str">
        <v>No</v>
      </c>
      <c r="E267" t="str">
        <v>No</v>
      </c>
      <c r="F267">
        <v>5</v>
      </c>
      <c r="G267" t="str">
        <v>R</v>
      </c>
      <c r="H267">
        <v>1.25</v>
      </c>
      <c r="I267">
        <v>0</v>
      </c>
      <c r="J267">
        <v>0</v>
      </c>
      <c r="K267">
        <v>0</v>
      </c>
    </row>
    <row r="268" spans="1:11" x14ac:dyDescent="0.35">
      <c r="A268">
        <v>480</v>
      </c>
      <c r="B268" t="str">
        <v>Yes</v>
      </c>
      <c r="C268" t="str">
        <v>Yes</v>
      </c>
      <c r="D268" t="str">
        <v>No</v>
      </c>
      <c r="E268" t="str">
        <v>No</v>
      </c>
      <c r="F268">
        <v>5</v>
      </c>
      <c r="G268" t="str">
        <v>R</v>
      </c>
      <c r="H268">
        <v>1.25</v>
      </c>
      <c r="I268">
        <v>0</v>
      </c>
      <c r="J268">
        <v>0</v>
      </c>
      <c r="K268">
        <v>0</v>
      </c>
    </row>
    <row r="269" spans="1:11" x14ac:dyDescent="0.35">
      <c r="A269">
        <v>492</v>
      </c>
      <c r="B269" t="str">
        <v>No</v>
      </c>
      <c r="C269" t="str">
        <v>Yes</v>
      </c>
      <c r="D269" t="str">
        <v>No</v>
      </c>
      <c r="E269" t="str">
        <v>No</v>
      </c>
      <c r="F269">
        <v>1</v>
      </c>
      <c r="G269" t="str">
        <v>R</v>
      </c>
      <c r="H269">
        <v>0.25</v>
      </c>
      <c r="I269">
        <v>0</v>
      </c>
      <c r="J269">
        <v>0</v>
      </c>
      <c r="K269" t="str">
        <v>1 spot</v>
      </c>
    </row>
    <row r="270" spans="1:11" x14ac:dyDescent="0.35">
      <c r="A270">
        <v>493</v>
      </c>
      <c r="B270" t="str">
        <v>No</v>
      </c>
      <c r="C270" t="str">
        <v>No</v>
      </c>
      <c r="D270" t="str">
        <v>Yes</v>
      </c>
      <c r="E270" t="str">
        <v>No</v>
      </c>
      <c r="F270">
        <v>5</v>
      </c>
      <c r="G270" t="str">
        <v>R</v>
      </c>
      <c r="H270">
        <v>1.25</v>
      </c>
      <c r="I270">
        <v>0</v>
      </c>
      <c r="J270">
        <v>0</v>
      </c>
      <c r="K270" t="str">
        <v>Two necrotic spots</v>
      </c>
    </row>
    <row r="271" spans="1:11" x14ac:dyDescent="0.35">
      <c r="A271">
        <v>494</v>
      </c>
      <c r="B271" t="str">
        <v>Yes</v>
      </c>
      <c r="C271" t="str">
        <v>No</v>
      </c>
      <c r="D271" t="str">
        <v>No</v>
      </c>
      <c r="E271" t="str">
        <v>No</v>
      </c>
      <c r="F271">
        <v>5</v>
      </c>
      <c r="G271" t="str">
        <v>R</v>
      </c>
      <c r="H271">
        <v>1.25</v>
      </c>
      <c r="I271">
        <v>0</v>
      </c>
      <c r="J271">
        <v>0</v>
      </c>
      <c r="K271">
        <v>0</v>
      </c>
    </row>
    <row r="272" spans="1:11" x14ac:dyDescent="0.35">
      <c r="A272">
        <v>497</v>
      </c>
      <c r="B272" t="str">
        <v>Yes</v>
      </c>
      <c r="C272" t="str">
        <v>Yes</v>
      </c>
      <c r="D272" t="str">
        <v>No</v>
      </c>
      <c r="E272" t="str">
        <v>No</v>
      </c>
      <c r="F272">
        <v>10</v>
      </c>
      <c r="G272" t="str">
        <v>R</v>
      </c>
      <c r="H272">
        <v>2.5</v>
      </c>
      <c r="I272">
        <v>0</v>
      </c>
      <c r="J272">
        <v>0</v>
      </c>
      <c r="K272">
        <v>0</v>
      </c>
    </row>
    <row r="273" spans="1:11" x14ac:dyDescent="0.35">
      <c r="A273">
        <v>498</v>
      </c>
      <c r="B273" t="str">
        <v>No</v>
      </c>
      <c r="C273" t="str">
        <v>No</v>
      </c>
      <c r="D273" t="str">
        <v>Yes</v>
      </c>
      <c r="E273" t="str">
        <v>No</v>
      </c>
      <c r="F273">
        <v>5</v>
      </c>
      <c r="G273" t="str">
        <v>R</v>
      </c>
      <c r="H273">
        <v>1.25</v>
      </c>
      <c r="I273">
        <v>0</v>
      </c>
      <c r="J273">
        <v>0</v>
      </c>
      <c r="K273">
        <v>0</v>
      </c>
    </row>
    <row r="274" spans="1:11" x14ac:dyDescent="0.35">
      <c r="A274">
        <v>513</v>
      </c>
      <c r="B274" t="str">
        <v>No</v>
      </c>
      <c r="C274" t="str">
        <v>Yes</v>
      </c>
      <c r="D274" t="str">
        <v>Yes</v>
      </c>
      <c r="E274" t="str">
        <v>No</v>
      </c>
      <c r="F274">
        <v>5</v>
      </c>
      <c r="G274" t="str">
        <v>R</v>
      </c>
      <c r="H274">
        <v>1.25</v>
      </c>
      <c r="I274">
        <v>0</v>
      </c>
      <c r="J274">
        <v>0</v>
      </c>
      <c r="K274">
        <v>0</v>
      </c>
    </row>
    <row r="275" spans="1:11" x14ac:dyDescent="0.35">
      <c r="A275">
        <v>516</v>
      </c>
      <c r="B275" t="str">
        <v>No</v>
      </c>
      <c r="C275" t="str">
        <v>No</v>
      </c>
      <c r="D275" t="str">
        <v>Yes</v>
      </c>
      <c r="E275" t="str">
        <v>No</v>
      </c>
      <c r="F275">
        <v>5</v>
      </c>
      <c r="G275" t="str">
        <v>R</v>
      </c>
      <c r="H275">
        <v>1.25</v>
      </c>
      <c r="I275">
        <v>0</v>
      </c>
      <c r="J275">
        <v>0</v>
      </c>
      <c r="K275">
        <v>0</v>
      </c>
    </row>
    <row r="276" spans="1:11" x14ac:dyDescent="0.35">
      <c r="A276">
        <v>518</v>
      </c>
      <c r="B276" t="str">
        <v>Yes</v>
      </c>
      <c r="C276" t="str">
        <v>Yes</v>
      </c>
      <c r="D276" t="str">
        <v>No</v>
      </c>
      <c r="E276" t="str">
        <v>No</v>
      </c>
      <c r="F276">
        <v>5</v>
      </c>
      <c r="G276" t="str">
        <v>R</v>
      </c>
      <c r="H276">
        <v>1.25</v>
      </c>
      <c r="I276">
        <v>0</v>
      </c>
      <c r="J276">
        <v>0</v>
      </c>
      <c r="K276">
        <v>0</v>
      </c>
    </row>
    <row r="277" spans="1:11" x14ac:dyDescent="0.35">
      <c r="A277">
        <v>527</v>
      </c>
      <c r="B277" t="str">
        <v>Yes</v>
      </c>
      <c r="C277" t="str">
        <v>No</v>
      </c>
      <c r="D277" t="str">
        <v>No</v>
      </c>
      <c r="E277" t="str">
        <v>No</v>
      </c>
      <c r="F277">
        <v>5</v>
      </c>
      <c r="G277" t="str">
        <v>R</v>
      </c>
      <c r="H277">
        <v>1.25</v>
      </c>
      <c r="I277">
        <v>0</v>
      </c>
      <c r="J277">
        <v>0</v>
      </c>
      <c r="K277" t="str">
        <v>1 fleck</v>
      </c>
    </row>
    <row r="278" spans="1:11" x14ac:dyDescent="0.35">
      <c r="A278">
        <v>530</v>
      </c>
      <c r="B278" t="str">
        <v>Yes</v>
      </c>
      <c r="C278" t="str">
        <v>No</v>
      </c>
      <c r="D278" t="str">
        <v>No</v>
      </c>
      <c r="E278" t="str">
        <v>No</v>
      </c>
      <c r="F278">
        <v>10</v>
      </c>
      <c r="G278" t="str">
        <v>R</v>
      </c>
      <c r="H278">
        <v>2.5</v>
      </c>
      <c r="I278">
        <v>0</v>
      </c>
      <c r="J278">
        <v>0</v>
      </c>
      <c r="K278">
        <v>0</v>
      </c>
    </row>
    <row r="279" spans="1:11" x14ac:dyDescent="0.35">
      <c r="A279">
        <v>531</v>
      </c>
      <c r="B279" t="str">
        <v>No</v>
      </c>
      <c r="C279" t="str">
        <v>Yes</v>
      </c>
      <c r="D279" t="str">
        <v>No</v>
      </c>
      <c r="E279" t="str">
        <v>No</v>
      </c>
      <c r="F279">
        <v>5</v>
      </c>
      <c r="G279" t="str">
        <v>R</v>
      </c>
      <c r="H279">
        <v>1.25</v>
      </c>
      <c r="I279">
        <v>0</v>
      </c>
      <c r="J279">
        <v>0</v>
      </c>
      <c r="K279">
        <v>0</v>
      </c>
    </row>
    <row r="280" spans="1:11" x14ac:dyDescent="0.35">
      <c r="A280">
        <v>533</v>
      </c>
      <c r="B280" t="str">
        <v>No</v>
      </c>
      <c r="C280" t="str">
        <v>No</v>
      </c>
      <c r="D280" t="str">
        <v>No</v>
      </c>
      <c r="E280" t="str">
        <v>No</v>
      </c>
      <c r="F280">
        <v>1</v>
      </c>
      <c r="G280" t="str">
        <v>R</v>
      </c>
      <c r="H280">
        <v>0.25</v>
      </c>
      <c r="I280">
        <v>0</v>
      </c>
      <c r="J280">
        <v>0</v>
      </c>
      <c r="K280">
        <v>0</v>
      </c>
    </row>
    <row r="281" spans="1:11" x14ac:dyDescent="0.35">
      <c r="A281">
        <v>534</v>
      </c>
      <c r="B281" t="str">
        <v>Yes</v>
      </c>
      <c r="C281" t="str">
        <v>No</v>
      </c>
      <c r="D281" t="str">
        <v>No</v>
      </c>
      <c r="E281" t="str">
        <v>No</v>
      </c>
      <c r="F281">
        <v>5</v>
      </c>
      <c r="G281" t="str">
        <v>R</v>
      </c>
      <c r="H281">
        <v>1.25</v>
      </c>
      <c r="I281">
        <v>0</v>
      </c>
      <c r="J281">
        <v>0</v>
      </c>
      <c r="K281">
        <v>0</v>
      </c>
    </row>
    <row r="282" spans="1:11" x14ac:dyDescent="0.35">
      <c r="A282">
        <v>567</v>
      </c>
      <c r="B282" t="str">
        <v>Yes</v>
      </c>
      <c r="C282" t="str">
        <v>Yes</v>
      </c>
      <c r="D282" t="str">
        <v>No</v>
      </c>
      <c r="E282" t="str">
        <v>No</v>
      </c>
      <c r="F282">
        <v>5</v>
      </c>
      <c r="G282" t="str">
        <v>R</v>
      </c>
      <c r="H282">
        <v>1.25</v>
      </c>
      <c r="I282">
        <v>0</v>
      </c>
      <c r="J282">
        <v>0</v>
      </c>
      <c r="K282">
        <v>0</v>
      </c>
    </row>
    <row r="283" spans="1:11" x14ac:dyDescent="0.35">
      <c r="A283">
        <v>572</v>
      </c>
      <c r="B283" t="str">
        <v>No</v>
      </c>
      <c r="C283" t="str">
        <v>Yes</v>
      </c>
      <c r="D283" t="str">
        <v>No</v>
      </c>
      <c r="E283" t="str">
        <v>No</v>
      </c>
      <c r="F283">
        <v>5</v>
      </c>
      <c r="G283" t="str">
        <v>R</v>
      </c>
      <c r="H283">
        <v>1.25</v>
      </c>
      <c r="I283">
        <v>0</v>
      </c>
      <c r="J283">
        <v>0</v>
      </c>
      <c r="K283" t="str">
        <v>Possibly not rust caused response</v>
      </c>
    </row>
    <row r="284" spans="1:11" x14ac:dyDescent="0.35">
      <c r="A284">
        <v>574</v>
      </c>
      <c r="B284" t="str">
        <v>Yes</v>
      </c>
      <c r="C284" t="str">
        <v>No</v>
      </c>
      <c r="D284" t="str">
        <v>No</v>
      </c>
      <c r="E284" t="str">
        <v>No</v>
      </c>
      <c r="F284">
        <v>5</v>
      </c>
      <c r="G284" t="str">
        <v>R</v>
      </c>
      <c r="H284">
        <v>1.25</v>
      </c>
      <c r="I284">
        <v>0</v>
      </c>
      <c r="J284">
        <v>0</v>
      </c>
      <c r="K284">
        <v>0</v>
      </c>
    </row>
    <row r="285" spans="1:11" x14ac:dyDescent="0.35">
      <c r="A285">
        <v>596</v>
      </c>
      <c r="B285" t="str">
        <v>Yes</v>
      </c>
      <c r="C285" t="str">
        <v>No</v>
      </c>
      <c r="D285" t="str">
        <v>No</v>
      </c>
      <c r="E285" t="str">
        <v>No</v>
      </c>
      <c r="F285">
        <v>5</v>
      </c>
      <c r="G285" t="str">
        <v>R</v>
      </c>
      <c r="H285">
        <v>1.25</v>
      </c>
      <c r="I285">
        <v>0</v>
      </c>
      <c r="J285">
        <v>0</v>
      </c>
      <c r="K285">
        <v>0</v>
      </c>
    </row>
    <row r="286" spans="1:11" x14ac:dyDescent="0.35">
      <c r="A286">
        <v>606</v>
      </c>
      <c r="B286" t="str">
        <v>No</v>
      </c>
      <c r="C286" t="str">
        <v>Yes</v>
      </c>
      <c r="D286" t="str">
        <v>Yes</v>
      </c>
      <c r="E286" t="str">
        <v>No</v>
      </c>
      <c r="F286">
        <v>10</v>
      </c>
      <c r="G286" t="str">
        <v>R</v>
      </c>
      <c r="H286">
        <v>2.5</v>
      </c>
      <c r="I286">
        <v>0</v>
      </c>
      <c r="J286">
        <v>0</v>
      </c>
      <c r="K286">
        <v>0</v>
      </c>
    </row>
    <row r="287" spans="1:11" x14ac:dyDescent="0.35">
      <c r="A287">
        <v>608</v>
      </c>
      <c r="B287" t="str">
        <v>Yes</v>
      </c>
      <c r="C287" t="str">
        <v>No</v>
      </c>
      <c r="D287" t="str">
        <v>No</v>
      </c>
      <c r="E287" t="str">
        <v>No</v>
      </c>
      <c r="F287">
        <v>5</v>
      </c>
      <c r="G287" t="str">
        <v>R</v>
      </c>
      <c r="H287">
        <v>1.25</v>
      </c>
      <c r="I287">
        <v>0</v>
      </c>
      <c r="J287">
        <v>0</v>
      </c>
      <c r="K287">
        <v>0</v>
      </c>
    </row>
    <row r="288" spans="1:11" x14ac:dyDescent="0.35">
      <c r="A288">
        <v>627</v>
      </c>
      <c r="B288" t="str">
        <v>No</v>
      </c>
      <c r="C288" t="str">
        <v>Yes</v>
      </c>
      <c r="D288" t="str">
        <v>No</v>
      </c>
      <c r="E288" t="str">
        <v>No</v>
      </c>
      <c r="F288">
        <v>5</v>
      </c>
      <c r="G288" t="str">
        <v>R</v>
      </c>
      <c r="H288">
        <v>1.25</v>
      </c>
      <c r="I288">
        <v>0</v>
      </c>
      <c r="J288">
        <v>0</v>
      </c>
      <c r="K288">
        <v>0</v>
      </c>
    </row>
    <row r="289" spans="1:11" x14ac:dyDescent="0.35">
      <c r="A289">
        <v>664</v>
      </c>
      <c r="B289" t="str">
        <v>No</v>
      </c>
      <c r="C289" t="str">
        <v>No</v>
      </c>
      <c r="D289" t="str">
        <v>No</v>
      </c>
      <c r="E289" t="str">
        <v>No</v>
      </c>
      <c r="F289">
        <v>5</v>
      </c>
      <c r="G289" t="str">
        <v>R</v>
      </c>
      <c r="H289">
        <v>1.25</v>
      </c>
      <c r="I289">
        <v>0</v>
      </c>
      <c r="J289">
        <v>0</v>
      </c>
      <c r="K289">
        <v>0</v>
      </c>
    </row>
    <row r="290" spans="1:11" x14ac:dyDescent="0.35">
      <c r="A290">
        <v>696</v>
      </c>
      <c r="B290" t="str">
        <v>No</v>
      </c>
      <c r="C290" t="str">
        <v>Yes</v>
      </c>
      <c r="D290" t="str">
        <v>No</v>
      </c>
      <c r="E290" t="str">
        <v>No</v>
      </c>
      <c r="F290">
        <v>5</v>
      </c>
      <c r="G290" t="str">
        <v>R</v>
      </c>
      <c r="H290">
        <v>1.25</v>
      </c>
      <c r="I290">
        <v>0</v>
      </c>
      <c r="J290">
        <v>0</v>
      </c>
      <c r="K290">
        <v>0</v>
      </c>
    </row>
    <row r="291" spans="1:11" x14ac:dyDescent="0.35">
      <c r="A291">
        <v>698</v>
      </c>
      <c r="B291" t="str">
        <v>Yes</v>
      </c>
      <c r="C291" t="str">
        <v>No</v>
      </c>
      <c r="D291" t="str">
        <v>No</v>
      </c>
      <c r="E291" t="str">
        <v>No</v>
      </c>
      <c r="F291">
        <v>5</v>
      </c>
      <c r="G291" t="str">
        <v>R</v>
      </c>
      <c r="H291">
        <v>1.25</v>
      </c>
      <c r="I291">
        <v>0</v>
      </c>
      <c r="J291">
        <v>0</v>
      </c>
      <c r="K291">
        <v>0</v>
      </c>
    </row>
    <row r="292" spans="1:11" x14ac:dyDescent="0.35">
      <c r="A292">
        <v>702</v>
      </c>
      <c r="B292" t="str">
        <v>Yes</v>
      </c>
      <c r="C292" t="str">
        <v>No</v>
      </c>
      <c r="D292" t="str">
        <v>No</v>
      </c>
      <c r="E292" t="str">
        <v>No</v>
      </c>
      <c r="F292">
        <v>5</v>
      </c>
      <c r="G292" t="str">
        <v>R</v>
      </c>
      <c r="H292">
        <v>1.25</v>
      </c>
      <c r="I292">
        <v>0</v>
      </c>
      <c r="J292">
        <v>0</v>
      </c>
      <c r="K292">
        <v>0</v>
      </c>
    </row>
    <row r="293" spans="1:11" x14ac:dyDescent="0.35">
      <c r="A293">
        <v>718</v>
      </c>
      <c r="B293" t="str">
        <v>Yes</v>
      </c>
      <c r="C293" t="str">
        <v>No</v>
      </c>
      <c r="D293" t="str">
        <v>No</v>
      </c>
      <c r="E293" t="str">
        <v>No</v>
      </c>
      <c r="F293">
        <v>1</v>
      </c>
      <c r="G293" t="str">
        <v>R</v>
      </c>
      <c r="H293">
        <v>0.25</v>
      </c>
      <c r="I293">
        <v>0</v>
      </c>
      <c r="J293">
        <v>0</v>
      </c>
      <c r="K293">
        <v>0</v>
      </c>
    </row>
    <row r="294" spans="1:11" x14ac:dyDescent="0.35">
      <c r="A294">
        <v>723</v>
      </c>
      <c r="B294" t="str">
        <v>No</v>
      </c>
      <c r="C294" t="str">
        <v>Yes</v>
      </c>
      <c r="D294" t="str">
        <v>No</v>
      </c>
      <c r="E294" t="str">
        <v>No</v>
      </c>
      <c r="F294">
        <v>10</v>
      </c>
      <c r="G294" t="str">
        <v>R</v>
      </c>
      <c r="H294">
        <v>2.5</v>
      </c>
      <c r="I294">
        <v>0</v>
      </c>
      <c r="J294">
        <v>0</v>
      </c>
      <c r="K294">
        <v>0</v>
      </c>
    </row>
    <row r="295" spans="1:11" x14ac:dyDescent="0.35">
      <c r="A295">
        <v>724</v>
      </c>
      <c r="B295" t="str">
        <v>Yes</v>
      </c>
      <c r="C295" t="str">
        <v>No</v>
      </c>
      <c r="D295" t="str">
        <v>No</v>
      </c>
      <c r="E295" t="str">
        <v>No</v>
      </c>
      <c r="F295">
        <v>5</v>
      </c>
      <c r="G295" t="str">
        <v>R</v>
      </c>
      <c r="H295">
        <v>1.25</v>
      </c>
      <c r="I295">
        <v>0</v>
      </c>
      <c r="J295">
        <v>0</v>
      </c>
      <c r="K295">
        <v>0</v>
      </c>
    </row>
    <row r="296" spans="1:11" x14ac:dyDescent="0.35">
      <c r="A296">
        <v>743</v>
      </c>
      <c r="B296" t="str">
        <v>Yes</v>
      </c>
      <c r="C296" t="str">
        <v>No</v>
      </c>
      <c r="D296" t="str">
        <v>No</v>
      </c>
      <c r="E296" t="str">
        <v>No</v>
      </c>
      <c r="F296">
        <v>1</v>
      </c>
      <c r="G296" t="str">
        <v>R</v>
      </c>
      <c r="H296">
        <v>0.25</v>
      </c>
      <c r="I296">
        <v>0</v>
      </c>
      <c r="J296">
        <v>0</v>
      </c>
      <c r="K296">
        <v>0</v>
      </c>
    </row>
    <row r="297" spans="1:11" x14ac:dyDescent="0.35">
      <c r="A297">
        <v>22</v>
      </c>
      <c r="B297" t="str">
        <v>Yes</v>
      </c>
      <c r="C297" t="str">
        <v>Yes</v>
      </c>
      <c r="D297" t="str">
        <v>No</v>
      </c>
      <c r="E297" t="str">
        <v>Restricted</v>
      </c>
      <c r="F297">
        <v>80</v>
      </c>
      <c r="G297" t="str">
        <v>S</v>
      </c>
      <c r="H297">
        <v>70</v>
      </c>
      <c r="I297">
        <v>1</v>
      </c>
      <c r="J297">
        <v>1</v>
      </c>
      <c r="K297" t="str">
        <v>Restricted colonies (1-3 spores). Large chlorotic</v>
      </c>
    </row>
    <row r="298" spans="1:11" x14ac:dyDescent="0.35">
      <c r="A298">
        <v>30</v>
      </c>
      <c r="B298" t="str">
        <v>No</v>
      </c>
      <c r="C298" t="str">
        <v>Yes</v>
      </c>
      <c r="D298" t="str">
        <v>No</v>
      </c>
      <c r="E298" t="str">
        <v>Unrestricted</v>
      </c>
      <c r="F298">
        <v>20</v>
      </c>
      <c r="G298" t="str">
        <v>S</v>
      </c>
      <c r="H298">
        <v>17.5</v>
      </c>
      <c r="I298">
        <v>1</v>
      </c>
      <c r="J298">
        <v>1</v>
      </c>
      <c r="K298">
        <v>0</v>
      </c>
    </row>
    <row r="299" spans="1:11" x14ac:dyDescent="0.35">
      <c r="A299">
        <v>44</v>
      </c>
      <c r="B299" t="str">
        <v>No</v>
      </c>
      <c r="C299" t="str">
        <v>Yes</v>
      </c>
      <c r="D299" t="str">
        <v>No</v>
      </c>
      <c r="E299" t="str">
        <v>Unrestricted</v>
      </c>
      <c r="F299">
        <v>30</v>
      </c>
      <c r="G299" t="str">
        <v>S</v>
      </c>
      <c r="H299">
        <v>26.25</v>
      </c>
      <c r="I299">
        <v>1</v>
      </c>
      <c r="J299">
        <v>1</v>
      </c>
      <c r="K299">
        <v>0</v>
      </c>
    </row>
    <row r="300" spans="1:11" x14ac:dyDescent="0.35">
      <c r="A300">
        <v>70</v>
      </c>
      <c r="B300" t="str">
        <v>No</v>
      </c>
      <c r="C300" t="str">
        <v>Yes</v>
      </c>
      <c r="D300" t="str">
        <v>Yes</v>
      </c>
      <c r="E300" t="str">
        <v>Unrestricted</v>
      </c>
      <c r="F300">
        <v>80</v>
      </c>
      <c r="G300" t="str">
        <v>S</v>
      </c>
      <c r="H300">
        <v>70</v>
      </c>
      <c r="I300">
        <v>1</v>
      </c>
      <c r="J300">
        <v>1</v>
      </c>
      <c r="K300" t="str">
        <v>Bad chlorotic lesions, large</v>
      </c>
    </row>
    <row r="301" spans="1:11" x14ac:dyDescent="0.35">
      <c r="A301">
        <v>83</v>
      </c>
      <c r="B301" t="str">
        <v>No</v>
      </c>
      <c r="C301" t="str">
        <v>Yes</v>
      </c>
      <c r="D301" t="str">
        <v>No</v>
      </c>
      <c r="E301" t="str">
        <v>Mix</v>
      </c>
      <c r="F301">
        <v>15</v>
      </c>
      <c r="G301" t="str">
        <v>S</v>
      </c>
      <c r="H301">
        <v>13.125</v>
      </c>
      <c r="I301">
        <v>1</v>
      </c>
      <c r="J301">
        <v>1</v>
      </c>
      <c r="K301">
        <v>0</v>
      </c>
    </row>
    <row r="302" spans="1:11" x14ac:dyDescent="0.35">
      <c r="A302">
        <v>116</v>
      </c>
      <c r="B302" t="str">
        <v>No</v>
      </c>
      <c r="C302" t="str">
        <v>Yes</v>
      </c>
      <c r="D302" t="str">
        <v>No</v>
      </c>
      <c r="E302" t="str">
        <v>Unrestricted</v>
      </c>
      <c r="F302">
        <v>60</v>
      </c>
      <c r="G302" t="str">
        <v>S</v>
      </c>
      <c r="H302">
        <v>52.5</v>
      </c>
      <c r="I302">
        <v>1</v>
      </c>
      <c r="J302">
        <v>1</v>
      </c>
      <c r="K302" t="str">
        <v>Unrestricted multi-spore colonies</v>
      </c>
    </row>
    <row r="303" spans="1:11" x14ac:dyDescent="0.35">
      <c r="A303">
        <v>117</v>
      </c>
      <c r="B303" t="str">
        <v>No</v>
      </c>
      <c r="C303" t="str">
        <v>Yes</v>
      </c>
      <c r="D303" t="str">
        <v>No</v>
      </c>
      <c r="E303" t="str">
        <v>Unrestricted</v>
      </c>
      <c r="F303">
        <v>50</v>
      </c>
      <c r="G303" t="str">
        <v>S</v>
      </c>
      <c r="H303">
        <v>43.75</v>
      </c>
      <c r="I303">
        <v>1</v>
      </c>
      <c r="J303">
        <v>1</v>
      </c>
      <c r="K303">
        <v>0</v>
      </c>
    </row>
    <row r="304" spans="1:11" x14ac:dyDescent="0.35">
      <c r="A304">
        <v>124</v>
      </c>
      <c r="B304" t="str">
        <v>No</v>
      </c>
      <c r="C304" t="str">
        <v>Yes</v>
      </c>
      <c r="D304" t="str">
        <v>No</v>
      </c>
      <c r="E304" t="str">
        <v>Unrestricted</v>
      </c>
      <c r="F304">
        <v>60</v>
      </c>
      <c r="G304" t="str">
        <v>S</v>
      </c>
      <c r="H304">
        <v>52.5</v>
      </c>
      <c r="I304">
        <v>1</v>
      </c>
      <c r="J304">
        <v>1</v>
      </c>
      <c r="K304">
        <v>0</v>
      </c>
    </row>
    <row r="305" spans="1:11" x14ac:dyDescent="0.35">
      <c r="A305">
        <v>159</v>
      </c>
      <c r="B305" t="str">
        <v>No</v>
      </c>
      <c r="C305" t="str">
        <v>Yes</v>
      </c>
      <c r="D305" t="str">
        <v>No</v>
      </c>
      <c r="E305" t="str">
        <v>Mix</v>
      </c>
      <c r="F305">
        <v>15</v>
      </c>
      <c r="G305" t="str">
        <v>S</v>
      </c>
      <c r="H305">
        <v>13.125</v>
      </c>
      <c r="I305">
        <v>1</v>
      </c>
      <c r="J305">
        <v>1</v>
      </c>
      <c r="K305">
        <v>0</v>
      </c>
    </row>
    <row r="306" spans="1:11" x14ac:dyDescent="0.35">
      <c r="A306">
        <v>171</v>
      </c>
      <c r="B306" t="str">
        <v>No</v>
      </c>
      <c r="C306" t="str">
        <v>Yes</v>
      </c>
      <c r="D306" t="str">
        <v>No</v>
      </c>
      <c r="E306" t="str">
        <v>Unrestricted</v>
      </c>
      <c r="F306">
        <v>10</v>
      </c>
      <c r="G306" t="str">
        <v>S</v>
      </c>
      <c r="H306">
        <v>8.75</v>
      </c>
      <c r="I306">
        <v>1</v>
      </c>
      <c r="J306">
        <v>1</v>
      </c>
      <c r="K306">
        <v>0</v>
      </c>
    </row>
    <row r="307" spans="1:11" x14ac:dyDescent="0.35">
      <c r="A307">
        <v>177</v>
      </c>
      <c r="B307" t="str">
        <v>Yes</v>
      </c>
      <c r="C307" t="str">
        <v>Yes</v>
      </c>
      <c r="D307" t="str">
        <v>Yes</v>
      </c>
      <c r="E307" t="str">
        <v>Restricted</v>
      </c>
      <c r="F307">
        <v>10</v>
      </c>
      <c r="G307" t="str">
        <v>S</v>
      </c>
      <c r="H307">
        <v>8.75</v>
      </c>
      <c r="I307">
        <v>1</v>
      </c>
      <c r="J307">
        <v>1</v>
      </c>
      <c r="K307" t="str">
        <v>Kinks</v>
      </c>
    </row>
    <row r="308" spans="1:11" x14ac:dyDescent="0.35">
      <c r="A308">
        <v>248</v>
      </c>
      <c r="B308" t="str">
        <v>No</v>
      </c>
      <c r="C308" t="str">
        <v>Yes</v>
      </c>
      <c r="D308" t="str">
        <v>No</v>
      </c>
      <c r="E308" t="str">
        <v>Unrestricted</v>
      </c>
      <c r="F308">
        <v>5</v>
      </c>
      <c r="G308" t="str">
        <v>S</v>
      </c>
      <c r="H308">
        <v>4.375</v>
      </c>
      <c r="I308">
        <v>1</v>
      </c>
      <c r="J308">
        <v>1</v>
      </c>
      <c r="K308" t="str">
        <v>Limited immune response. Minimal spores</v>
      </c>
    </row>
    <row r="309" spans="1:11" x14ac:dyDescent="0.35">
      <c r="A309">
        <v>267</v>
      </c>
      <c r="B309" t="str">
        <v>No</v>
      </c>
      <c r="C309" t="str">
        <v>Yes</v>
      </c>
      <c r="D309" t="str">
        <v>No</v>
      </c>
      <c r="E309" t="str">
        <v>Mix</v>
      </c>
      <c r="F309">
        <v>20</v>
      </c>
      <c r="G309" t="str">
        <v>S</v>
      </c>
      <c r="H309">
        <v>17.5</v>
      </c>
      <c r="I309">
        <v>1</v>
      </c>
      <c r="J309">
        <v>1</v>
      </c>
      <c r="K309" t="str">
        <v>Limited immune response</v>
      </c>
    </row>
    <row r="310" spans="1:11" x14ac:dyDescent="0.35">
      <c r="A310">
        <v>269</v>
      </c>
      <c r="B310" t="str">
        <v>No</v>
      </c>
      <c r="C310" t="str">
        <v>Yes</v>
      </c>
      <c r="D310" t="str">
        <v>No</v>
      </c>
      <c r="E310" t="str">
        <v>Unrestricted</v>
      </c>
      <c r="F310">
        <v>20</v>
      </c>
      <c r="G310" t="str">
        <v>S</v>
      </c>
      <c r="H310">
        <v>17.5</v>
      </c>
      <c r="I310">
        <v>1</v>
      </c>
      <c r="J310">
        <v>1</v>
      </c>
      <c r="K310">
        <v>0</v>
      </c>
    </row>
    <row r="311" spans="1:11" x14ac:dyDescent="0.35">
      <c r="A311">
        <v>273</v>
      </c>
      <c r="B311" t="str">
        <v>Yes</v>
      </c>
      <c r="C311" t="str">
        <v>Yes</v>
      </c>
      <c r="D311" t="str">
        <v>Yes</v>
      </c>
      <c r="E311" t="str">
        <v>Unrestricted</v>
      </c>
      <c r="F311">
        <v>20</v>
      </c>
      <c r="G311" t="str">
        <v>S</v>
      </c>
      <c r="H311">
        <v>17.5</v>
      </c>
      <c r="I311">
        <v>1</v>
      </c>
      <c r="J311">
        <v>1</v>
      </c>
      <c r="K311">
        <v>0</v>
      </c>
    </row>
    <row r="312" spans="1:11" x14ac:dyDescent="0.35">
      <c r="A312">
        <v>274</v>
      </c>
      <c r="B312" t="str">
        <v>Yes</v>
      </c>
      <c r="C312" t="str">
        <v>Yes</v>
      </c>
      <c r="D312" t="str">
        <v>No</v>
      </c>
      <c r="E312" t="str">
        <v>Unrestricted</v>
      </c>
      <c r="F312">
        <v>15</v>
      </c>
      <c r="G312" t="str">
        <v>S</v>
      </c>
      <c r="H312">
        <v>13.125</v>
      </c>
      <c r="I312">
        <v>1</v>
      </c>
      <c r="J312">
        <v>1</v>
      </c>
      <c r="K312" t="str">
        <v>Minimal immune response</v>
      </c>
    </row>
    <row r="313" spans="1:11" x14ac:dyDescent="0.35">
      <c r="A313">
        <v>306</v>
      </c>
      <c r="B313" t="str">
        <v>Yes</v>
      </c>
      <c r="C313" t="str">
        <v>Yes</v>
      </c>
      <c r="D313" t="str">
        <v>No</v>
      </c>
      <c r="E313" t="str">
        <v>Mix</v>
      </c>
      <c r="F313">
        <v>10</v>
      </c>
      <c r="G313" t="str">
        <v>S</v>
      </c>
      <c r="H313">
        <v>8.75</v>
      </c>
      <c r="I313">
        <v>1</v>
      </c>
      <c r="J313">
        <v>1</v>
      </c>
      <c r="K313">
        <v>0</v>
      </c>
    </row>
    <row r="314" spans="1:11" x14ac:dyDescent="0.35">
      <c r="A314">
        <v>341</v>
      </c>
      <c r="B314" t="str">
        <v>No</v>
      </c>
      <c r="C314" t="str">
        <v>Yes</v>
      </c>
      <c r="D314" t="str">
        <v>No</v>
      </c>
      <c r="E314" t="str">
        <v>Unrestricted</v>
      </c>
      <c r="F314">
        <v>25</v>
      </c>
      <c r="G314" t="str">
        <v>S</v>
      </c>
      <c r="H314">
        <v>21.875</v>
      </c>
      <c r="I314">
        <v>1</v>
      </c>
      <c r="J314">
        <v>1</v>
      </c>
      <c r="K314" t="str">
        <v>Multi spore colonies (3+)</v>
      </c>
    </row>
    <row r="315" spans="1:11" x14ac:dyDescent="0.35">
      <c r="A315">
        <v>344</v>
      </c>
      <c r="B315" t="str">
        <v>No</v>
      </c>
      <c r="C315" t="str">
        <v>Yes</v>
      </c>
      <c r="D315" t="str">
        <v>No</v>
      </c>
      <c r="E315" t="str">
        <v>Unrestricted</v>
      </c>
      <c r="F315">
        <v>15</v>
      </c>
      <c r="G315" t="str">
        <v>S</v>
      </c>
      <c r="H315">
        <v>13.125</v>
      </c>
      <c r="I315">
        <v>1</v>
      </c>
      <c r="J315">
        <v>1</v>
      </c>
      <c r="K315">
        <v>0</v>
      </c>
    </row>
    <row r="316" spans="1:11" x14ac:dyDescent="0.35">
      <c r="A316">
        <v>349</v>
      </c>
      <c r="B316" t="str">
        <v>No</v>
      </c>
      <c r="C316" t="str">
        <v>Yes</v>
      </c>
      <c r="D316" t="str">
        <v>No</v>
      </c>
      <c r="E316" t="str">
        <v>Restricted</v>
      </c>
      <c r="F316">
        <v>10</v>
      </c>
      <c r="G316" t="str">
        <v>S</v>
      </c>
      <c r="H316">
        <v>8.75</v>
      </c>
      <c r="I316">
        <v>1</v>
      </c>
      <c r="J316">
        <v>1</v>
      </c>
      <c r="K316">
        <v>0</v>
      </c>
    </row>
    <row r="317" spans="1:11" x14ac:dyDescent="0.35">
      <c r="A317">
        <v>367</v>
      </c>
      <c r="B317" t="str">
        <v>No</v>
      </c>
      <c r="C317" t="str">
        <v>No</v>
      </c>
      <c r="D317" t="str">
        <v>No</v>
      </c>
      <c r="E317" t="str">
        <v>Restricted</v>
      </c>
      <c r="F317">
        <v>1</v>
      </c>
      <c r="G317" t="str">
        <v>S</v>
      </c>
      <c r="H317">
        <v>0.875</v>
      </c>
      <c r="I317">
        <v>1</v>
      </c>
      <c r="J317">
        <v>1</v>
      </c>
      <c r="K317" t="str">
        <v>One active spore colony, no immune response otherwise</v>
      </c>
    </row>
    <row r="318" spans="1:11" x14ac:dyDescent="0.35">
      <c r="A318">
        <v>377</v>
      </c>
      <c r="B318" t="str">
        <v>No</v>
      </c>
      <c r="C318" t="str">
        <v>Yes</v>
      </c>
      <c r="D318" t="str">
        <v>Yes</v>
      </c>
      <c r="E318" t="str">
        <v>Unrestricted</v>
      </c>
      <c r="F318">
        <v>20</v>
      </c>
      <c r="G318" t="str">
        <v>S</v>
      </c>
      <c r="H318">
        <v>17.5</v>
      </c>
      <c r="I318">
        <v>1</v>
      </c>
      <c r="J318">
        <v>1</v>
      </c>
      <c r="K318">
        <v>0</v>
      </c>
    </row>
    <row r="319" spans="1:11" x14ac:dyDescent="0.35">
      <c r="A319">
        <v>382</v>
      </c>
      <c r="B319" t="str">
        <v>No</v>
      </c>
      <c r="C319" t="str">
        <v>Yes</v>
      </c>
      <c r="D319" t="str">
        <v>No</v>
      </c>
      <c r="E319" t="str">
        <v>Mix</v>
      </c>
      <c r="F319">
        <v>40</v>
      </c>
      <c r="G319" t="str">
        <v>S</v>
      </c>
      <c r="H319">
        <v>35</v>
      </c>
      <c r="I319">
        <v>1</v>
      </c>
      <c r="J319">
        <v>1</v>
      </c>
      <c r="K319">
        <v>0</v>
      </c>
    </row>
    <row r="320" spans="1:11" x14ac:dyDescent="0.35">
      <c r="A320">
        <v>398</v>
      </c>
      <c r="B320" t="str">
        <v>No</v>
      </c>
      <c r="C320" t="str">
        <v>Yes</v>
      </c>
      <c r="D320" t="str">
        <v>No</v>
      </c>
      <c r="E320" t="str">
        <v>Unrestricted</v>
      </c>
      <c r="F320">
        <v>10</v>
      </c>
      <c r="G320" t="str">
        <v>S</v>
      </c>
      <c r="H320">
        <v>8.75</v>
      </c>
      <c r="I320">
        <v>1</v>
      </c>
      <c r="J320">
        <v>1</v>
      </c>
      <c r="K320" t="str">
        <v>On branch</v>
      </c>
    </row>
    <row r="321" spans="1:11" x14ac:dyDescent="0.35">
      <c r="A321">
        <v>401</v>
      </c>
      <c r="B321" t="str">
        <v>No</v>
      </c>
      <c r="C321" t="str">
        <v>Yes</v>
      </c>
      <c r="D321" t="str">
        <v>Yes</v>
      </c>
      <c r="E321" t="str">
        <v>Unrestricted</v>
      </c>
      <c r="F321">
        <v>10</v>
      </c>
      <c r="G321" t="str">
        <v>S</v>
      </c>
      <c r="H321">
        <v>8.75</v>
      </c>
      <c r="I321">
        <v>1</v>
      </c>
      <c r="J321">
        <v>1</v>
      </c>
      <c r="K321">
        <v>0</v>
      </c>
    </row>
    <row r="322" spans="1:11" x14ac:dyDescent="0.35">
      <c r="A322">
        <v>441</v>
      </c>
      <c r="B322" t="str">
        <v>No</v>
      </c>
      <c r="C322" t="str">
        <v>Yes</v>
      </c>
      <c r="D322" t="str">
        <v>No</v>
      </c>
      <c r="E322" t="str">
        <v>Unrestricted</v>
      </c>
      <c r="F322">
        <v>20</v>
      </c>
      <c r="G322" t="str">
        <v>S</v>
      </c>
      <c r="H322">
        <v>17.5</v>
      </c>
      <c r="I322">
        <v>1</v>
      </c>
      <c r="J322">
        <v>1</v>
      </c>
      <c r="K322">
        <v>0</v>
      </c>
    </row>
    <row r="323" spans="1:11" x14ac:dyDescent="0.35">
      <c r="A323">
        <v>456</v>
      </c>
      <c r="B323" t="str">
        <v>No</v>
      </c>
      <c r="C323" t="str">
        <v>Yes</v>
      </c>
      <c r="D323" t="str">
        <v>No</v>
      </c>
      <c r="E323" t="str">
        <v>Mix</v>
      </c>
      <c r="F323">
        <v>90</v>
      </c>
      <c r="G323" t="str">
        <v>S</v>
      </c>
      <c r="H323">
        <v>78.75</v>
      </c>
      <c r="I323">
        <v>1</v>
      </c>
      <c r="J323">
        <v>1</v>
      </c>
      <c r="K323" t="str">
        <v>Large chlorotic lesions</v>
      </c>
    </row>
    <row r="324" spans="1:11" x14ac:dyDescent="0.35">
      <c r="A324">
        <v>459</v>
      </c>
      <c r="B324" t="str">
        <v>No</v>
      </c>
      <c r="C324" t="str">
        <v>Yes</v>
      </c>
      <c r="D324" t="str">
        <v>No</v>
      </c>
      <c r="E324" t="str">
        <v>Unrestricted</v>
      </c>
      <c r="F324">
        <v>80</v>
      </c>
      <c r="G324" t="str">
        <v>S</v>
      </c>
      <c r="H324">
        <v>70</v>
      </c>
      <c r="I324">
        <v>1</v>
      </c>
      <c r="J324">
        <v>1</v>
      </c>
      <c r="K324" t="str">
        <v>Large chlorosis</v>
      </c>
    </row>
    <row r="325" spans="1:11" x14ac:dyDescent="0.35">
      <c r="A325">
        <v>603</v>
      </c>
      <c r="B325" t="str">
        <v>No</v>
      </c>
      <c r="C325" t="str">
        <v>No</v>
      </c>
      <c r="D325" t="str">
        <v>Yes</v>
      </c>
      <c r="E325" t="str">
        <v>Unrestricted</v>
      </c>
      <c r="F325">
        <v>15</v>
      </c>
      <c r="G325" t="str">
        <v>S</v>
      </c>
      <c r="H325">
        <v>13.125</v>
      </c>
      <c r="I325">
        <v>1</v>
      </c>
      <c r="J325">
        <v>1</v>
      </c>
      <c r="K325">
        <v>0</v>
      </c>
    </row>
    <row r="326" spans="1:11" x14ac:dyDescent="0.35">
      <c r="A326">
        <v>625</v>
      </c>
      <c r="B326" t="str">
        <v>No</v>
      </c>
      <c r="C326" t="str">
        <v>Yes</v>
      </c>
      <c r="D326" t="str">
        <v>Yes</v>
      </c>
      <c r="E326" t="str">
        <v>Mix</v>
      </c>
      <c r="F326">
        <v>50</v>
      </c>
      <c r="G326" t="str">
        <v>S</v>
      </c>
      <c r="H326">
        <v>43.75</v>
      </c>
      <c r="I326">
        <v>1</v>
      </c>
      <c r="J326">
        <v>1</v>
      </c>
      <c r="K326">
        <v>0</v>
      </c>
    </row>
    <row r="327" spans="1:11" x14ac:dyDescent="0.35">
      <c r="A327">
        <v>626</v>
      </c>
      <c r="B327" t="str">
        <v>No</v>
      </c>
      <c r="C327" t="str">
        <v>Yes</v>
      </c>
      <c r="D327" t="str">
        <v>Yes</v>
      </c>
      <c r="E327" t="str">
        <v>Restricted</v>
      </c>
      <c r="F327">
        <v>50</v>
      </c>
      <c r="G327" t="str">
        <v>S</v>
      </c>
      <c r="H327">
        <v>43.75</v>
      </c>
      <c r="I327">
        <v>1</v>
      </c>
      <c r="J327">
        <v>1</v>
      </c>
      <c r="K327">
        <v>0</v>
      </c>
    </row>
    <row r="328" spans="1:11" x14ac:dyDescent="0.35">
      <c r="A328">
        <v>645</v>
      </c>
      <c r="B328" t="str">
        <v>No</v>
      </c>
      <c r="C328" t="str">
        <v>Yes</v>
      </c>
      <c r="D328" t="str">
        <v>Yes</v>
      </c>
      <c r="E328" t="str">
        <v>Unrestricted</v>
      </c>
      <c r="F328">
        <v>10</v>
      </c>
      <c r="G328" t="str">
        <v>S</v>
      </c>
      <c r="H328">
        <v>8.75</v>
      </c>
      <c r="I328">
        <v>1</v>
      </c>
      <c r="J328">
        <v>1</v>
      </c>
      <c r="K328" t="str">
        <v>Multiple colonies</v>
      </c>
    </row>
    <row r="329" spans="1:11" x14ac:dyDescent="0.35">
      <c r="A329">
        <v>648</v>
      </c>
      <c r="B329" t="str">
        <v>No</v>
      </c>
      <c r="C329" t="str">
        <v>Yes</v>
      </c>
      <c r="D329" t="str">
        <v>No</v>
      </c>
      <c r="E329" t="str">
        <v>Unrestricted</v>
      </c>
      <c r="F329">
        <v>5</v>
      </c>
      <c r="G329" t="str">
        <v>S</v>
      </c>
      <c r="H329">
        <v>4.375</v>
      </c>
      <c r="I329">
        <v>1</v>
      </c>
      <c r="J329">
        <v>1</v>
      </c>
      <c r="K329" t="str">
        <v>Limited new growth</v>
      </c>
    </row>
    <row r="330" spans="1:11" x14ac:dyDescent="0.35">
      <c r="A330">
        <v>649</v>
      </c>
      <c r="B330" t="str">
        <v>No</v>
      </c>
      <c r="C330" t="str">
        <v>Yes</v>
      </c>
      <c r="D330" t="str">
        <v>Yes</v>
      </c>
      <c r="E330" t="str">
        <v>Unrestricted</v>
      </c>
      <c r="F330">
        <v>40</v>
      </c>
      <c r="G330" t="str">
        <v>S</v>
      </c>
      <c r="H330">
        <v>35</v>
      </c>
      <c r="I330">
        <v>1</v>
      </c>
      <c r="J330">
        <v>1</v>
      </c>
      <c r="K330" t="str">
        <v>Limited immune response colonies</v>
      </c>
    </row>
    <row r="331" spans="1:11" x14ac:dyDescent="0.35">
      <c r="A331">
        <v>194</v>
      </c>
      <c r="B331" t="str">
        <v>No</v>
      </c>
      <c r="C331" t="str">
        <v>No</v>
      </c>
      <c r="D331" t="str">
        <v>No</v>
      </c>
      <c r="E331" t="str">
        <v>No</v>
      </c>
      <c r="F331">
        <v>0</v>
      </c>
      <c r="G331">
        <v>0</v>
      </c>
      <c r="H331" t="e">
        <v>#N/A</v>
      </c>
      <c r="I331">
        <v>0</v>
      </c>
      <c r="J331">
        <v>0</v>
      </c>
      <c r="K331" t="str">
        <v>Dead tip</v>
      </c>
    </row>
    <row r="332" spans="1:11" x14ac:dyDescent="0.35">
      <c r="A332">
        <v>419</v>
      </c>
      <c r="B332" t="str">
        <v>No</v>
      </c>
      <c r="C332" t="str">
        <v>No</v>
      </c>
      <c r="D332" t="str">
        <v>No</v>
      </c>
      <c r="E332" t="str">
        <v>No</v>
      </c>
      <c r="F332">
        <v>0</v>
      </c>
      <c r="G332">
        <v>0</v>
      </c>
      <c r="H332" t="e">
        <v>#N/A</v>
      </c>
      <c r="I332">
        <v>0</v>
      </c>
      <c r="J332">
        <v>0</v>
      </c>
      <c r="K332" t="str">
        <v>Dead tip</v>
      </c>
    </row>
    <row r="333" spans="1:11" x14ac:dyDescent="0.35">
      <c r="A333">
        <v>569</v>
      </c>
      <c r="B333" t="str">
        <v>No</v>
      </c>
      <c r="C333" t="str">
        <v>No</v>
      </c>
      <c r="D333" t="str">
        <v>No</v>
      </c>
      <c r="E333" t="str">
        <v>No</v>
      </c>
      <c r="F333">
        <v>0</v>
      </c>
      <c r="G333">
        <v>0</v>
      </c>
      <c r="H333" t="e">
        <v>#N/A</v>
      </c>
      <c r="I333">
        <v>0</v>
      </c>
      <c r="J333">
        <v>0</v>
      </c>
      <c r="K333" t="str">
        <v>Dead</v>
      </c>
    </row>
    <row r="334" spans="1:11" x14ac:dyDescent="0.35">
      <c r="A334">
        <v>641</v>
      </c>
      <c r="B334" t="str">
        <v>No</v>
      </c>
      <c r="C334" t="str">
        <v>No</v>
      </c>
      <c r="D334" t="str">
        <v>No</v>
      </c>
      <c r="E334" t="str">
        <v>No</v>
      </c>
      <c r="F334">
        <v>0</v>
      </c>
      <c r="G334">
        <v>0</v>
      </c>
      <c r="H334" t="e">
        <v>#N/A</v>
      </c>
      <c r="I334">
        <v>0</v>
      </c>
      <c r="J334">
        <v>0</v>
      </c>
      <c r="K334" t="str">
        <v>Dead</v>
      </c>
    </row>
    <row r="335" spans="1:11" x14ac:dyDescent="0.35">
      <c r="A335">
        <v>650</v>
      </c>
      <c r="B335" t="str">
        <v>No</v>
      </c>
      <c r="C335" t="str">
        <v>No</v>
      </c>
      <c r="D335" t="str">
        <v>No</v>
      </c>
      <c r="E335" t="str">
        <v>No</v>
      </c>
      <c r="F335">
        <v>0</v>
      </c>
      <c r="G335">
        <v>0</v>
      </c>
      <c r="H335" t="e">
        <v>#N/A</v>
      </c>
      <c r="I335">
        <v>0</v>
      </c>
      <c r="J335">
        <v>0</v>
      </c>
      <c r="K335" t="str">
        <v>Dead</v>
      </c>
    </row>
    <row r="336" spans="1:11" x14ac:dyDescent="0.35">
      <c r="A336">
        <v>741</v>
      </c>
      <c r="B336" t="str">
        <v>No</v>
      </c>
      <c r="C336" t="str">
        <v>No</v>
      </c>
      <c r="D336" t="str">
        <v>No</v>
      </c>
      <c r="E336" t="str">
        <v>No</v>
      </c>
      <c r="F336">
        <v>0</v>
      </c>
      <c r="G336">
        <v>0</v>
      </c>
      <c r="H336" t="e">
        <v>#N/A</v>
      </c>
      <c r="I336">
        <v>0</v>
      </c>
      <c r="J336">
        <v>0</v>
      </c>
      <c r="K336" t="str">
        <v>Dead tip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Guo</dc:creator>
  <cp:lastModifiedBy>Karina Guo</cp:lastModifiedBy>
  <cp:lastPrinted>2025-02-14T04:35:27Z</cp:lastPrinted>
  <dcterms:created xsi:type="dcterms:W3CDTF">2025-02-12T21:09:14Z</dcterms:created>
  <dcterms:modified xsi:type="dcterms:W3CDTF">2025-05-27T06:32:02Z</dcterms:modified>
</cp:coreProperties>
</file>