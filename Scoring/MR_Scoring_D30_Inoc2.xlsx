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rl\OneDrive\Documents\Uni\Doctorate\Ch2 Stressor\Scoring\"/>
    </mc:Choice>
  </mc:AlternateContent>
  <xr:revisionPtr revIDLastSave="0" documentId="13_ncr:1_{823973EC-C213-4C37-ACC2-68A42A9998CF}" xr6:coauthVersionLast="47" xr6:coauthVersionMax="47" xr10:uidLastSave="{00000000-0000-0000-0000-000000000000}"/>
  <bookViews>
    <workbookView xWindow="-110" yWindow="-110" windowWidth="22620" windowHeight="13500" xr2:uid="{903BFAB8-4041-431A-94F7-931BF1EF5A7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3" i="1"/>
  <c r="H4" i="1"/>
  <c r="I4" i="1"/>
  <c r="J4" i="1"/>
  <c r="H5" i="1"/>
  <c r="J5" i="1"/>
  <c r="H6" i="1"/>
  <c r="I6" i="1"/>
  <c r="J6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I90" i="1"/>
  <c r="J90" i="1"/>
  <c r="H91" i="1"/>
  <c r="I91" i="1"/>
  <c r="J91" i="1"/>
  <c r="H92" i="1"/>
  <c r="I92" i="1"/>
  <c r="J92" i="1"/>
  <c r="H93" i="1"/>
  <c r="I93" i="1"/>
  <c r="J93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I121" i="1"/>
  <c r="J121" i="1"/>
  <c r="H122" i="1"/>
  <c r="I122" i="1"/>
  <c r="J122" i="1"/>
  <c r="H123" i="1"/>
  <c r="I123" i="1"/>
  <c r="J123" i="1"/>
  <c r="H124" i="1"/>
  <c r="I124" i="1"/>
  <c r="J124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I138" i="1"/>
  <c r="J138" i="1"/>
  <c r="H139" i="1"/>
  <c r="I139" i="1"/>
  <c r="J139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I170" i="1"/>
  <c r="J170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H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J3" i="1"/>
  <c r="U7" i="1" l="1"/>
  <c r="H99" i="1" l="1"/>
  <c r="H115" i="1"/>
  <c r="H3" i="1"/>
  <c r="H94" i="1"/>
  <c r="H125" i="1"/>
  <c r="H68" i="1"/>
  <c r="H79" i="1"/>
  <c r="H90" i="1"/>
  <c r="H121" i="1"/>
  <c r="H148" i="1"/>
  <c r="H179" i="1"/>
  <c r="H138" i="1"/>
  <c r="H170" i="1"/>
  <c r="H171" i="1"/>
  <c r="H28" i="1"/>
  <c r="H7" i="1"/>
  <c r="H140" i="1"/>
  <c r="A1" i="2" l="1" a="1"/>
  <c r="A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Karina Guo</author>
  </authors>
  <commentList>
    <comment ref="G2" authorId="0" shapeId="0" xr:uid="{A5EE47E1-460E-416B-BDC8-990213FCB826}">
      <text>
        <r>
          <rPr>
            <b/>
            <sz val="9"/>
            <color indexed="81"/>
            <rFont val="Tahoma"/>
            <family val="2"/>
          </rPr>
          <t>Karina Guo:</t>
        </r>
        <r>
          <rPr>
            <sz val="9"/>
            <color indexed="81"/>
            <rFont val="Tahoma"/>
            <family val="2"/>
          </rPr>
          <t xml:space="preserve">
(S,MS,MRMS,MR,R)</t>
        </r>
      </text>
    </comment>
    <comment ref="I2" authorId="0" shapeId="0" xr:uid="{B5E229AA-3D64-49EA-AF9C-3C338C3A4A98}">
      <text>
        <r>
          <rPr>
            <b/>
            <sz val="9"/>
            <color indexed="81"/>
            <rFont val="Tahoma"/>
            <family val="2"/>
          </rPr>
          <t>Karina Guo:</t>
        </r>
        <r>
          <rPr>
            <sz val="9"/>
            <color indexed="81"/>
            <rFont val="Tahoma"/>
            <family val="2"/>
          </rPr>
          <t xml:space="preserve">
converted at MRMS&gt; = 1, MRMS= &lt; = 0</t>
        </r>
      </text>
    </comment>
    <comment ref="J2" authorId="0" shapeId="0" xr:uid="{9206F1ED-618B-4D6A-87D1-C183B821EEAD}">
      <text>
        <r>
          <rPr>
            <b/>
            <sz val="9"/>
            <color indexed="81"/>
            <rFont val="Tahoma"/>
            <family val="2"/>
          </rPr>
          <t>Karina Guo:</t>
        </r>
        <r>
          <rPr>
            <sz val="9"/>
            <color indexed="81"/>
            <rFont val="Tahoma"/>
            <family val="2"/>
          </rPr>
          <t xml:space="preserve">
converted at MRMS=&gt; = 1, MRMS&lt; = 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<sst xmlns="http://schemas.openxmlformats.org/spreadsheetml/2006/main" count="1113" uniqueCount="48">
  <si>
    <t>Karans</t>
  </si>
  <si>
    <t>Personal COI</t>
  </si>
  <si>
    <t>IID</t>
  </si>
  <si>
    <t>Flecking (white)</t>
  </si>
  <si>
    <t>Chlorosis (red)</t>
  </si>
  <si>
    <t>Necrosis</t>
  </si>
  <si>
    <t>Active sporulation (restr./not restr.)</t>
  </si>
  <si>
    <t>Coverage</t>
  </si>
  <si>
    <t>Imm. resp.</t>
  </si>
  <si>
    <t>COI scores</t>
  </si>
  <si>
    <t>Binary_MS</t>
  </si>
  <si>
    <t>Binary_MRMS</t>
  </si>
  <si>
    <t>Notes</t>
  </si>
  <si>
    <t>Orig Scoring scheme</t>
  </si>
  <si>
    <t>Imm resp</t>
  </si>
  <si>
    <t>COI - if no coverage score was given, use personal</t>
  </si>
  <si>
    <t>Difference in COI (Mine-Karans)</t>
  </si>
  <si>
    <t>Difference in coverage score</t>
  </si>
  <si>
    <t>Imm. resp. (S,MS,MRMS,MR,R)</t>
  </si>
  <si>
    <t>Multiplicative factor</t>
  </si>
  <si>
    <t>HR</t>
  </si>
  <si>
    <t>R</t>
  </si>
  <si>
    <t>MRMS</t>
  </si>
  <si>
    <t>MS</t>
  </si>
  <si>
    <t>S</t>
  </si>
  <si>
    <t>HS</t>
  </si>
  <si>
    <t>No</t>
  </si>
  <si>
    <t>Yes</t>
  </si>
  <si>
    <t>Unrestricted</t>
  </si>
  <si>
    <t>Restricted</t>
  </si>
  <si>
    <t>Mix</t>
  </si>
  <si>
    <t>Warped leaf shape</t>
  </si>
  <si>
    <t>Limited new tissue</t>
  </si>
  <si>
    <t>Three single spore colonies</t>
  </si>
  <si>
    <t>One single spore colony</t>
  </si>
  <si>
    <t>Colonies with no immune response</t>
  </si>
  <si>
    <t>Onet wo spore colony</t>
  </si>
  <si>
    <t>Limited new growth</t>
  </si>
  <si>
    <t>On branch</t>
  </si>
  <si>
    <t>Colonies with no immune response. On branch</t>
  </si>
  <si>
    <t>Colonies with no immune response.</t>
  </si>
  <si>
    <t>Dead tip</t>
  </si>
  <si>
    <t>Warped leaf</t>
  </si>
  <si>
    <t>One two spore colony</t>
  </si>
  <si>
    <t>Unrestricted colony with no immune response, but some restricted colonies.</t>
  </si>
  <si>
    <t>Missing tip</t>
  </si>
  <si>
    <t>On branch. Colonies with no immune response</t>
  </si>
  <si>
    <t>Scored on 4/3/25. Inoculated on 17/2/25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</si>
</sst>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5F9FD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CE7DC"/>
        <bgColor indexed="64"/>
      </patternFill>
    </fill>
    <fill>
      <patternFill patternType="solid">
        <fgColor rgb="FFFFFFE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/>
    <xf numFmtId="0" fontId="1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2" borderId="5" xfId="0" applyFill="1" applyBorder="1"/>
    <xf numFmtId="0" fontId="0" fillId="3" borderId="5" xfId="0" applyFill="1" applyBorder="1"/>
    <xf numFmtId="0" fontId="0" fillId="4" borderId="5" xfId="0" applyFill="1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theme="8" tint="-0.24994659260841701"/>
      </font>
      <fill>
        <patternFill>
          <bgColor theme="8" tint="0.79998168889431442"/>
        </patternFill>
      </fill>
    </dxf>
    <dxf>
      <font>
        <color theme="3" tint="0.24994659260841701"/>
      </font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CE7DC"/>
      <color rgb="FFFFEFEF"/>
      <color rgb="FFF5F9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F11E-E6C0-455A-AC0B-21EF72E4D741}">
  <dimension ref="A1:U215"/>
  <sheetViews>
    <sheetView tabSelected="1" topLeftCell="A80" workbookViewId="0">
      <selection activeCell="G80" sqref="G1:G1048576"/>
    </sheetView>
  </sheetViews>
  <sheetFormatPr defaultRowHeight="14.5" x14ac:dyDescent="0.35"/>
  <cols>
    <col min="1" max="1" width="8.7265625" style="3"/>
    <col min="2" max="2" width="8.7265625" style="8"/>
    <col min="3" max="3" width="8.7265625" style="9"/>
    <col min="4" max="4" width="8" style="10" bestFit="1" customWidth="1"/>
    <col min="5" max="5" width="11" style="3" bestFit="1" customWidth="1"/>
    <col min="6" max="10" width="8.7265625" style="3"/>
    <col min="11" max="11" width="63" style="3" bestFit="1" customWidth="1"/>
    <col min="12" max="18" width="8.7265625" style="3"/>
  </cols>
  <sheetData>
    <row r="1" spans="1:21" x14ac:dyDescent="0.35">
      <c r="A1" s="12" t="s">
        <v>47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 t="s">
        <v>0</v>
      </c>
      <c r="M1" s="14"/>
      <c r="N1" s="14"/>
      <c r="O1" s="14"/>
      <c r="P1" s="14"/>
      <c r="Q1" s="14"/>
      <c r="R1" s="15"/>
      <c r="T1" s="16" t="s">
        <v>1</v>
      </c>
      <c r="U1" s="16"/>
    </row>
    <row r="2" spans="1:21" ht="101.5" x14ac:dyDescent="0.35">
      <c r="A2" s="2" t="s">
        <v>2</v>
      </c>
      <c r="B2" s="4" t="s">
        <v>3</v>
      </c>
      <c r="C2" s="5" t="s">
        <v>4</v>
      </c>
      <c r="D2" s="6" t="s">
        <v>5</v>
      </c>
      <c r="E2" s="7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7</v>
      </c>
      <c r="N2" s="3" t="s">
        <v>14</v>
      </c>
      <c r="O2" s="2" t="s">
        <v>15</v>
      </c>
      <c r="P2" s="2" t="s">
        <v>16</v>
      </c>
      <c r="Q2" s="2" t="s">
        <v>17</v>
      </c>
      <c r="R2" s="2" t="s">
        <v>12</v>
      </c>
      <c r="S2" s="1"/>
      <c r="T2" s="2" t="s">
        <v>18</v>
      </c>
      <c r="U2" s="3" t="s">
        <v>19</v>
      </c>
    </row>
    <row r="3" spans="1:21" x14ac:dyDescent="0.35">
      <c r="A3" s="3">
        <v>624</v>
      </c>
      <c r="B3" s="8" t="s">
        <v>26</v>
      </c>
      <c r="C3" s="9" t="s">
        <v>27</v>
      </c>
      <c r="D3" s="10" t="s">
        <v>26</v>
      </c>
      <c r="E3" s="3" t="s">
        <v>28</v>
      </c>
      <c r="F3" s="3">
        <v>60</v>
      </c>
      <c r="G3" s="3" t="s">
        <v>24</v>
      </c>
      <c r="H3" s="11">
        <f t="shared" ref="H3:H66" si="0">INDEX(U:U, MATCH(G3, T:T, 0))*F3</f>
        <v>52.5</v>
      </c>
      <c r="I3" s="11">
        <f>IF(COUNTIF($T$3:$T$6, G3) &gt; 0, 0, 1)</f>
        <v>1</v>
      </c>
      <c r="J3" s="11">
        <f t="shared" ref="J3" si="1">IF(COUNTIF(T$3:T$5, G3) &gt; 0, 0, 1)</f>
        <v>1</v>
      </c>
      <c r="T3" s="3" t="s">
        <v>20</v>
      </c>
      <c r="U3" s="3">
        <v>0</v>
      </c>
    </row>
    <row r="4" spans="1:21" x14ac:dyDescent="0.35">
      <c r="A4" s="3">
        <v>548</v>
      </c>
      <c r="B4" s="8" t="s">
        <v>26</v>
      </c>
      <c r="C4" s="9" t="s">
        <v>26</v>
      </c>
      <c r="D4" s="10" t="s">
        <v>26</v>
      </c>
      <c r="E4" s="3" t="s">
        <v>26</v>
      </c>
      <c r="F4" s="3">
        <v>0</v>
      </c>
      <c r="G4" s="3" t="s">
        <v>20</v>
      </c>
      <c r="H4" s="11">
        <f t="shared" si="0"/>
        <v>0</v>
      </c>
      <c r="I4" s="11">
        <f t="shared" ref="I4:I67" si="2">IF(COUNTIF($T$3:$T$6, G4) &gt; 0, 0, 1)</f>
        <v>0</v>
      </c>
      <c r="J4" s="11">
        <f t="shared" ref="J4:J67" si="3">IF(COUNTIF(T$3:T$5, G4) &gt; 0, 0, 1)</f>
        <v>0</v>
      </c>
      <c r="T4" s="3" t="s">
        <v>21</v>
      </c>
      <c r="U4" s="3">
        <v>0.25</v>
      </c>
    </row>
    <row r="5" spans="1:21" x14ac:dyDescent="0.35">
      <c r="A5" s="3">
        <v>271</v>
      </c>
      <c r="B5" s="8" t="s">
        <v>27</v>
      </c>
      <c r="C5" s="9" t="s">
        <v>27</v>
      </c>
      <c r="D5" s="10" t="s">
        <v>26</v>
      </c>
      <c r="E5" s="3" t="s">
        <v>29</v>
      </c>
      <c r="F5" s="3">
        <v>5</v>
      </c>
      <c r="G5" s="3" t="s">
        <v>22</v>
      </c>
      <c r="H5" s="11">
        <f t="shared" si="0"/>
        <v>2.5</v>
      </c>
      <c r="I5" s="11">
        <f>IF(COUNTIF($T$3:$T$6, G5) &gt; 0, 0, 1)</f>
        <v>0</v>
      </c>
      <c r="J5" s="11">
        <f t="shared" si="3"/>
        <v>0</v>
      </c>
      <c r="K5" s="3" t="s">
        <v>34</v>
      </c>
      <c r="T5" s="3" t="s">
        <v>22</v>
      </c>
      <c r="U5" s="3">
        <v>0.5</v>
      </c>
    </row>
    <row r="6" spans="1:21" x14ac:dyDescent="0.35">
      <c r="A6" s="3">
        <v>608</v>
      </c>
      <c r="B6" s="8" t="s">
        <v>27</v>
      </c>
      <c r="C6" s="9" t="s">
        <v>26</v>
      </c>
      <c r="D6" s="10" t="s">
        <v>26</v>
      </c>
      <c r="E6" s="3" t="s">
        <v>26</v>
      </c>
      <c r="F6" s="3">
        <v>5</v>
      </c>
      <c r="G6" s="3" t="s">
        <v>21</v>
      </c>
      <c r="H6" s="11">
        <f t="shared" si="0"/>
        <v>1.25</v>
      </c>
      <c r="I6" s="11">
        <f t="shared" si="2"/>
        <v>0</v>
      </c>
      <c r="J6" s="11">
        <f t="shared" si="3"/>
        <v>0</v>
      </c>
      <c r="T6" s="3" t="s">
        <v>23</v>
      </c>
      <c r="U6" s="3">
        <v>0.75</v>
      </c>
    </row>
    <row r="7" spans="1:21" x14ac:dyDescent="0.35">
      <c r="A7" s="3">
        <v>380</v>
      </c>
      <c r="B7" s="8" t="s">
        <v>26</v>
      </c>
      <c r="C7" s="9" t="s">
        <v>27</v>
      </c>
      <c r="D7" s="10" t="s">
        <v>26</v>
      </c>
      <c r="E7" s="3" t="s">
        <v>28</v>
      </c>
      <c r="F7" s="3">
        <v>15</v>
      </c>
      <c r="G7" s="3" t="s">
        <v>24</v>
      </c>
      <c r="H7" s="11">
        <f t="shared" si="0"/>
        <v>13.125</v>
      </c>
      <c r="I7" s="11">
        <f t="shared" si="2"/>
        <v>1</v>
      </c>
      <c r="J7" s="11">
        <f t="shared" si="3"/>
        <v>1</v>
      </c>
      <c r="T7" s="3" t="s">
        <v>24</v>
      </c>
      <c r="U7" s="3">
        <f>0.75+0.125</f>
        <v>0.875</v>
      </c>
    </row>
    <row r="8" spans="1:21" x14ac:dyDescent="0.35">
      <c r="A8" s="3">
        <v>524</v>
      </c>
      <c r="B8" s="8" t="s">
        <v>26</v>
      </c>
      <c r="C8" s="9" t="s">
        <v>26</v>
      </c>
      <c r="D8" s="10" t="s">
        <v>26</v>
      </c>
      <c r="E8" s="3" t="s">
        <v>26</v>
      </c>
      <c r="F8" s="3">
        <v>0</v>
      </c>
      <c r="G8" s="3" t="s">
        <v>20</v>
      </c>
      <c r="H8" s="11">
        <f t="shared" si="0"/>
        <v>0</v>
      </c>
      <c r="I8" s="11">
        <f t="shared" si="2"/>
        <v>0</v>
      </c>
      <c r="J8" s="11">
        <f t="shared" si="3"/>
        <v>0</v>
      </c>
      <c r="T8" s="3" t="s">
        <v>25</v>
      </c>
      <c r="U8" s="3">
        <v>1</v>
      </c>
    </row>
    <row r="9" spans="1:21" x14ac:dyDescent="0.35">
      <c r="A9" s="3">
        <v>78</v>
      </c>
      <c r="B9" s="8" t="s">
        <v>26</v>
      </c>
      <c r="C9" s="9" t="s">
        <v>26</v>
      </c>
      <c r="D9" s="10" t="s">
        <v>26</v>
      </c>
      <c r="E9" s="3" t="s">
        <v>26</v>
      </c>
      <c r="F9" s="3">
        <v>0</v>
      </c>
      <c r="G9" s="3" t="s">
        <v>20</v>
      </c>
      <c r="H9" s="11">
        <f t="shared" si="0"/>
        <v>0</v>
      </c>
      <c r="I9" s="11">
        <f t="shared" si="2"/>
        <v>0</v>
      </c>
      <c r="J9" s="11">
        <f t="shared" si="3"/>
        <v>0</v>
      </c>
      <c r="T9" s="3"/>
      <c r="U9" s="3"/>
    </row>
    <row r="10" spans="1:21" x14ac:dyDescent="0.35">
      <c r="A10" s="3">
        <v>554</v>
      </c>
      <c r="B10" s="8" t="s">
        <v>26</v>
      </c>
      <c r="C10" s="9" t="s">
        <v>26</v>
      </c>
      <c r="D10" s="10" t="s">
        <v>26</v>
      </c>
      <c r="E10" s="3" t="s">
        <v>26</v>
      </c>
      <c r="F10" s="3">
        <v>0</v>
      </c>
      <c r="G10" s="3" t="s">
        <v>20</v>
      </c>
      <c r="H10" s="11">
        <f t="shared" si="0"/>
        <v>0</v>
      </c>
      <c r="I10" s="11">
        <f t="shared" si="2"/>
        <v>0</v>
      </c>
      <c r="J10" s="11">
        <f t="shared" si="3"/>
        <v>0</v>
      </c>
    </row>
    <row r="11" spans="1:21" x14ac:dyDescent="0.35">
      <c r="A11" s="3">
        <v>475</v>
      </c>
      <c r="B11" s="8" t="s">
        <v>26</v>
      </c>
      <c r="C11" s="9" t="s">
        <v>27</v>
      </c>
      <c r="D11" s="10" t="s">
        <v>26</v>
      </c>
      <c r="E11" s="3" t="s">
        <v>30</v>
      </c>
      <c r="F11" s="3">
        <v>10</v>
      </c>
      <c r="G11" s="3" t="s">
        <v>23</v>
      </c>
      <c r="H11" s="11">
        <f t="shared" si="0"/>
        <v>7.5</v>
      </c>
      <c r="I11" s="11">
        <f t="shared" si="2"/>
        <v>0</v>
      </c>
      <c r="J11" s="11">
        <f t="shared" si="3"/>
        <v>1</v>
      </c>
    </row>
    <row r="12" spans="1:21" x14ac:dyDescent="0.35">
      <c r="A12" s="3">
        <v>191</v>
      </c>
      <c r="B12" s="8" t="s">
        <v>26</v>
      </c>
      <c r="C12" s="9" t="s">
        <v>27</v>
      </c>
      <c r="D12" s="10" t="s">
        <v>27</v>
      </c>
      <c r="E12" s="3" t="s">
        <v>28</v>
      </c>
      <c r="F12" s="3">
        <v>90</v>
      </c>
      <c r="G12" s="3" t="s">
        <v>25</v>
      </c>
      <c r="H12" s="11">
        <f t="shared" si="0"/>
        <v>90</v>
      </c>
      <c r="I12" s="11">
        <f t="shared" si="2"/>
        <v>1</v>
      </c>
      <c r="J12" s="11">
        <f t="shared" si="3"/>
        <v>1</v>
      </c>
      <c r="K12" s="3" t="s">
        <v>31</v>
      </c>
    </row>
    <row r="13" spans="1:21" x14ac:dyDescent="0.35">
      <c r="A13" s="3">
        <v>27</v>
      </c>
      <c r="B13" s="8" t="s">
        <v>27</v>
      </c>
      <c r="C13" s="9" t="s">
        <v>27</v>
      </c>
      <c r="D13" s="10" t="s">
        <v>26</v>
      </c>
      <c r="E13" s="3" t="s">
        <v>26</v>
      </c>
      <c r="F13" s="3">
        <v>5</v>
      </c>
      <c r="G13" s="3" t="s">
        <v>21</v>
      </c>
      <c r="H13" s="11">
        <f t="shared" si="0"/>
        <v>1.25</v>
      </c>
      <c r="I13" s="11">
        <f t="shared" si="2"/>
        <v>0</v>
      </c>
      <c r="J13" s="11">
        <f t="shared" si="3"/>
        <v>0</v>
      </c>
    </row>
    <row r="14" spans="1:21" x14ac:dyDescent="0.35">
      <c r="A14" s="3">
        <v>10</v>
      </c>
      <c r="B14" s="8" t="s">
        <v>27</v>
      </c>
      <c r="C14" s="9" t="s">
        <v>26</v>
      </c>
      <c r="D14" s="10" t="s">
        <v>26</v>
      </c>
      <c r="E14" s="3" t="s">
        <v>26</v>
      </c>
      <c r="F14" s="3">
        <v>5</v>
      </c>
      <c r="G14" s="3" t="s">
        <v>21</v>
      </c>
      <c r="H14" s="11">
        <f t="shared" si="0"/>
        <v>1.25</v>
      </c>
      <c r="I14" s="11">
        <f t="shared" si="2"/>
        <v>0</v>
      </c>
      <c r="J14" s="11">
        <f t="shared" si="3"/>
        <v>0</v>
      </c>
    </row>
    <row r="15" spans="1:21" x14ac:dyDescent="0.35">
      <c r="A15" s="3">
        <v>82</v>
      </c>
      <c r="B15" s="8" t="s">
        <v>26</v>
      </c>
      <c r="C15" s="9" t="s">
        <v>26</v>
      </c>
      <c r="D15" s="10" t="s">
        <v>26</v>
      </c>
      <c r="E15" s="3" t="s">
        <v>26</v>
      </c>
      <c r="F15" s="3">
        <v>0</v>
      </c>
      <c r="G15" s="3" t="s">
        <v>20</v>
      </c>
      <c r="H15" s="11">
        <f t="shared" si="0"/>
        <v>0</v>
      </c>
      <c r="I15" s="11">
        <f t="shared" si="2"/>
        <v>0</v>
      </c>
      <c r="J15" s="11">
        <f t="shared" si="3"/>
        <v>0</v>
      </c>
      <c r="K15" s="3" t="s">
        <v>32</v>
      </c>
    </row>
    <row r="16" spans="1:21" x14ac:dyDescent="0.35">
      <c r="A16" s="3">
        <v>476</v>
      </c>
      <c r="B16" s="8" t="s">
        <v>26</v>
      </c>
      <c r="C16" s="9" t="s">
        <v>27</v>
      </c>
      <c r="D16" s="10" t="s">
        <v>26</v>
      </c>
      <c r="E16" s="3" t="s">
        <v>26</v>
      </c>
      <c r="F16" s="3">
        <v>30</v>
      </c>
      <c r="G16" s="3" t="s">
        <v>21</v>
      </c>
      <c r="H16" s="11">
        <f t="shared" si="0"/>
        <v>7.5</v>
      </c>
      <c r="I16" s="11">
        <f t="shared" si="2"/>
        <v>0</v>
      </c>
      <c r="J16" s="11">
        <f t="shared" si="3"/>
        <v>0</v>
      </c>
    </row>
    <row r="17" spans="1:11" x14ac:dyDescent="0.35">
      <c r="A17" s="3">
        <v>47</v>
      </c>
      <c r="B17" s="8" t="s">
        <v>27</v>
      </c>
      <c r="C17" s="9" t="s">
        <v>26</v>
      </c>
      <c r="D17" s="10" t="s">
        <v>26</v>
      </c>
      <c r="E17" s="3" t="s">
        <v>26</v>
      </c>
      <c r="F17" s="3">
        <v>5</v>
      </c>
      <c r="G17" s="3" t="s">
        <v>21</v>
      </c>
      <c r="H17" s="11">
        <f t="shared" si="0"/>
        <v>1.25</v>
      </c>
      <c r="I17" s="11">
        <f t="shared" si="2"/>
        <v>0</v>
      </c>
      <c r="J17" s="11">
        <f t="shared" si="3"/>
        <v>0</v>
      </c>
    </row>
    <row r="18" spans="1:11" x14ac:dyDescent="0.35">
      <c r="A18" s="3">
        <v>601</v>
      </c>
      <c r="B18" s="8" t="s">
        <v>26</v>
      </c>
      <c r="C18" s="9" t="s">
        <v>27</v>
      </c>
      <c r="D18" s="10" t="s">
        <v>26</v>
      </c>
      <c r="E18" s="3" t="s">
        <v>30</v>
      </c>
      <c r="F18" s="3">
        <v>20</v>
      </c>
      <c r="G18" s="3" t="s">
        <v>23</v>
      </c>
      <c r="H18" s="11">
        <f t="shared" si="0"/>
        <v>15</v>
      </c>
      <c r="I18" s="11">
        <f t="shared" si="2"/>
        <v>0</v>
      </c>
      <c r="J18" s="11">
        <f t="shared" si="3"/>
        <v>1</v>
      </c>
    </row>
    <row r="19" spans="1:11" x14ac:dyDescent="0.35">
      <c r="A19" s="3">
        <v>685</v>
      </c>
      <c r="B19" s="8" t="s">
        <v>26</v>
      </c>
      <c r="C19" s="9" t="s">
        <v>26</v>
      </c>
      <c r="D19" s="10" t="s">
        <v>26</v>
      </c>
      <c r="E19" s="3" t="s">
        <v>26</v>
      </c>
      <c r="F19" s="3">
        <v>0</v>
      </c>
      <c r="G19" s="3" t="s">
        <v>20</v>
      </c>
      <c r="H19" s="11">
        <f t="shared" si="0"/>
        <v>0</v>
      </c>
      <c r="I19" s="11">
        <f t="shared" si="2"/>
        <v>0</v>
      </c>
      <c r="J19" s="11">
        <f t="shared" si="3"/>
        <v>0</v>
      </c>
    </row>
    <row r="20" spans="1:11" x14ac:dyDescent="0.35">
      <c r="A20" s="3">
        <v>195</v>
      </c>
      <c r="B20" s="8" t="s">
        <v>26</v>
      </c>
      <c r="C20" s="9" t="s">
        <v>27</v>
      </c>
      <c r="D20" s="10" t="s">
        <v>26</v>
      </c>
      <c r="E20" s="3" t="s">
        <v>29</v>
      </c>
      <c r="F20" s="3">
        <v>5</v>
      </c>
      <c r="G20" s="3" t="s">
        <v>22</v>
      </c>
      <c r="H20" s="11">
        <f t="shared" si="0"/>
        <v>2.5</v>
      </c>
      <c r="I20" s="11">
        <f t="shared" si="2"/>
        <v>0</v>
      </c>
      <c r="J20" s="11">
        <f t="shared" si="3"/>
        <v>0</v>
      </c>
      <c r="K20" s="3" t="s">
        <v>34</v>
      </c>
    </row>
    <row r="21" spans="1:11" x14ac:dyDescent="0.35">
      <c r="A21" s="3">
        <v>345</v>
      </c>
      <c r="B21" s="8" t="s">
        <v>27</v>
      </c>
      <c r="C21" s="9" t="s">
        <v>26</v>
      </c>
      <c r="D21" s="10" t="s">
        <v>26</v>
      </c>
      <c r="E21" s="3" t="s">
        <v>26</v>
      </c>
      <c r="F21" s="3">
        <v>5</v>
      </c>
      <c r="G21" s="3" t="s">
        <v>21</v>
      </c>
      <c r="H21" s="11">
        <f t="shared" si="0"/>
        <v>1.25</v>
      </c>
      <c r="I21" s="11">
        <f t="shared" si="2"/>
        <v>0</v>
      </c>
      <c r="J21" s="11">
        <f t="shared" si="3"/>
        <v>0</v>
      </c>
    </row>
    <row r="22" spans="1:11" x14ac:dyDescent="0.35">
      <c r="A22" s="3">
        <v>526</v>
      </c>
      <c r="B22" s="8" t="s">
        <v>27</v>
      </c>
      <c r="C22" s="9" t="s">
        <v>26</v>
      </c>
      <c r="D22" s="10" t="s">
        <v>26</v>
      </c>
      <c r="E22" s="3" t="s">
        <v>26</v>
      </c>
      <c r="F22" s="3">
        <v>5</v>
      </c>
      <c r="G22" s="3" t="s">
        <v>21</v>
      </c>
      <c r="H22" s="11">
        <f t="shared" si="0"/>
        <v>1.25</v>
      </c>
      <c r="I22" s="11">
        <f t="shared" si="2"/>
        <v>0</v>
      </c>
      <c r="J22" s="11">
        <f t="shared" si="3"/>
        <v>0</v>
      </c>
    </row>
    <row r="23" spans="1:11" x14ac:dyDescent="0.35">
      <c r="A23" s="3">
        <v>553</v>
      </c>
      <c r="B23" s="8" t="s">
        <v>27</v>
      </c>
      <c r="C23" s="9" t="s">
        <v>26</v>
      </c>
      <c r="D23" s="10" t="s">
        <v>26</v>
      </c>
      <c r="E23" s="3" t="s">
        <v>26</v>
      </c>
      <c r="F23" s="3">
        <v>5</v>
      </c>
      <c r="G23" s="3" t="s">
        <v>21</v>
      </c>
      <c r="H23" s="11">
        <f t="shared" si="0"/>
        <v>1.25</v>
      </c>
      <c r="I23" s="11">
        <f t="shared" si="2"/>
        <v>0</v>
      </c>
      <c r="J23" s="11">
        <f t="shared" si="3"/>
        <v>0</v>
      </c>
    </row>
    <row r="24" spans="1:11" x14ac:dyDescent="0.35">
      <c r="A24" s="3">
        <v>305</v>
      </c>
      <c r="B24" s="8" t="s">
        <v>26</v>
      </c>
      <c r="C24" s="9" t="s">
        <v>26</v>
      </c>
      <c r="D24" s="10" t="s">
        <v>26</v>
      </c>
      <c r="E24" s="3" t="s">
        <v>26</v>
      </c>
      <c r="F24" s="3">
        <v>0</v>
      </c>
      <c r="G24" s="3" t="s">
        <v>20</v>
      </c>
      <c r="H24" s="11">
        <f t="shared" si="0"/>
        <v>0</v>
      </c>
      <c r="I24" s="11">
        <f t="shared" si="2"/>
        <v>0</v>
      </c>
      <c r="J24" s="11">
        <f t="shared" si="3"/>
        <v>0</v>
      </c>
    </row>
    <row r="25" spans="1:11" x14ac:dyDescent="0.35">
      <c r="A25" s="3">
        <v>623</v>
      </c>
      <c r="B25" s="8" t="s">
        <v>27</v>
      </c>
      <c r="C25" s="9" t="s">
        <v>26</v>
      </c>
      <c r="D25" s="10" t="s">
        <v>26</v>
      </c>
      <c r="E25" s="3" t="s">
        <v>26</v>
      </c>
      <c r="F25" s="3">
        <v>5</v>
      </c>
      <c r="G25" s="3" t="s">
        <v>21</v>
      </c>
      <c r="H25" s="11">
        <f t="shared" si="0"/>
        <v>1.25</v>
      </c>
      <c r="I25" s="11">
        <f t="shared" si="2"/>
        <v>0</v>
      </c>
      <c r="J25" s="11">
        <f t="shared" si="3"/>
        <v>0</v>
      </c>
    </row>
    <row r="26" spans="1:11" x14ac:dyDescent="0.35">
      <c r="A26" s="3">
        <v>301</v>
      </c>
      <c r="B26" s="8" t="s">
        <v>26</v>
      </c>
      <c r="C26" s="9" t="s">
        <v>27</v>
      </c>
      <c r="D26" s="10" t="s">
        <v>27</v>
      </c>
      <c r="E26" s="3" t="s">
        <v>29</v>
      </c>
      <c r="F26" s="3">
        <v>10</v>
      </c>
      <c r="G26" s="3" t="s">
        <v>22</v>
      </c>
      <c r="H26" s="11">
        <f t="shared" si="0"/>
        <v>5</v>
      </c>
      <c r="I26" s="11">
        <f t="shared" si="2"/>
        <v>0</v>
      </c>
      <c r="J26" s="11">
        <f t="shared" si="3"/>
        <v>0</v>
      </c>
    </row>
    <row r="27" spans="1:11" x14ac:dyDescent="0.35">
      <c r="A27" s="3">
        <v>568</v>
      </c>
      <c r="B27" s="8" t="s">
        <v>27</v>
      </c>
      <c r="C27" s="9" t="s">
        <v>26</v>
      </c>
      <c r="D27" s="10" t="s">
        <v>26</v>
      </c>
      <c r="E27" s="3" t="s">
        <v>26</v>
      </c>
      <c r="F27" s="3">
        <v>5</v>
      </c>
      <c r="G27" s="3" t="s">
        <v>21</v>
      </c>
      <c r="H27" s="11">
        <f t="shared" si="0"/>
        <v>1.25</v>
      </c>
      <c r="I27" s="11">
        <f t="shared" si="2"/>
        <v>0</v>
      </c>
      <c r="J27" s="11">
        <f t="shared" si="3"/>
        <v>0</v>
      </c>
    </row>
    <row r="28" spans="1:11" x14ac:dyDescent="0.35">
      <c r="A28" s="3">
        <v>493</v>
      </c>
      <c r="B28" s="8" t="s">
        <v>26</v>
      </c>
      <c r="C28" s="9" t="s">
        <v>27</v>
      </c>
      <c r="D28" s="10" t="s">
        <v>27</v>
      </c>
      <c r="E28" s="3" t="s">
        <v>28</v>
      </c>
      <c r="F28" s="3">
        <v>20</v>
      </c>
      <c r="G28" s="3" t="s">
        <v>24</v>
      </c>
      <c r="H28" s="11">
        <f t="shared" si="0"/>
        <v>17.5</v>
      </c>
      <c r="I28" s="11">
        <f t="shared" si="2"/>
        <v>1</v>
      </c>
      <c r="J28" s="11">
        <f t="shared" si="3"/>
        <v>1</v>
      </c>
    </row>
    <row r="29" spans="1:11" x14ac:dyDescent="0.35">
      <c r="A29" s="3">
        <v>500</v>
      </c>
      <c r="B29" s="8" t="s">
        <v>26</v>
      </c>
      <c r="C29" s="9" t="s">
        <v>26</v>
      </c>
      <c r="D29" s="10" t="s">
        <v>26</v>
      </c>
      <c r="E29" s="3" t="s">
        <v>26</v>
      </c>
      <c r="F29" s="3">
        <v>0</v>
      </c>
      <c r="G29" s="3" t="s">
        <v>20</v>
      </c>
      <c r="H29" s="11">
        <f t="shared" si="0"/>
        <v>0</v>
      </c>
      <c r="I29" s="11">
        <f t="shared" si="2"/>
        <v>0</v>
      </c>
      <c r="J29" s="11">
        <f t="shared" si="3"/>
        <v>0</v>
      </c>
    </row>
    <row r="30" spans="1:11" x14ac:dyDescent="0.35">
      <c r="A30" s="3">
        <v>323</v>
      </c>
      <c r="B30" s="8" t="s">
        <v>26</v>
      </c>
      <c r="C30" s="9" t="s">
        <v>26</v>
      </c>
      <c r="D30" s="10" t="s">
        <v>26</v>
      </c>
      <c r="E30" s="3" t="s">
        <v>26</v>
      </c>
      <c r="F30" s="3">
        <v>0</v>
      </c>
      <c r="G30" s="3" t="s">
        <v>20</v>
      </c>
      <c r="H30" s="11">
        <f t="shared" si="0"/>
        <v>0</v>
      </c>
      <c r="I30" s="11">
        <f t="shared" si="2"/>
        <v>0</v>
      </c>
      <c r="J30" s="11">
        <f t="shared" si="3"/>
        <v>0</v>
      </c>
    </row>
    <row r="31" spans="1:11" x14ac:dyDescent="0.35">
      <c r="A31" s="3">
        <v>326</v>
      </c>
      <c r="B31" s="8" t="s">
        <v>26</v>
      </c>
      <c r="C31" s="9" t="s">
        <v>27</v>
      </c>
      <c r="D31" s="10" t="s">
        <v>26</v>
      </c>
      <c r="E31" s="3" t="s">
        <v>29</v>
      </c>
      <c r="F31" s="3">
        <v>10</v>
      </c>
      <c r="G31" s="3" t="s">
        <v>22</v>
      </c>
      <c r="H31" s="11">
        <f t="shared" si="0"/>
        <v>5</v>
      </c>
      <c r="I31" s="11">
        <f t="shared" si="2"/>
        <v>0</v>
      </c>
      <c r="J31" s="11">
        <f t="shared" si="3"/>
        <v>0</v>
      </c>
    </row>
    <row r="32" spans="1:11" x14ac:dyDescent="0.35">
      <c r="A32" s="3">
        <v>533</v>
      </c>
      <c r="B32" s="8" t="s">
        <v>26</v>
      </c>
      <c r="C32" s="9" t="s">
        <v>26</v>
      </c>
      <c r="D32" s="10" t="s">
        <v>26</v>
      </c>
      <c r="E32" s="3" t="s">
        <v>26</v>
      </c>
      <c r="F32" s="3">
        <v>0</v>
      </c>
      <c r="G32" s="3" t="s">
        <v>20</v>
      </c>
      <c r="H32" s="11">
        <f t="shared" si="0"/>
        <v>0</v>
      </c>
      <c r="I32" s="11">
        <f t="shared" si="2"/>
        <v>0</v>
      </c>
      <c r="J32" s="11">
        <f t="shared" si="3"/>
        <v>0</v>
      </c>
    </row>
    <row r="33" spans="1:11" x14ac:dyDescent="0.35">
      <c r="A33" s="3">
        <v>252</v>
      </c>
      <c r="B33" s="8" t="s">
        <v>26</v>
      </c>
      <c r="C33" s="9" t="s">
        <v>27</v>
      </c>
      <c r="D33" s="10" t="s">
        <v>27</v>
      </c>
      <c r="E33" s="3" t="s">
        <v>29</v>
      </c>
      <c r="F33" s="3">
        <v>20</v>
      </c>
      <c r="G33" s="3" t="s">
        <v>22</v>
      </c>
      <c r="H33" s="11">
        <f t="shared" si="0"/>
        <v>10</v>
      </c>
      <c r="I33" s="11">
        <f t="shared" si="2"/>
        <v>0</v>
      </c>
      <c r="J33" s="11">
        <f t="shared" si="3"/>
        <v>0</v>
      </c>
    </row>
    <row r="34" spans="1:11" x14ac:dyDescent="0.35">
      <c r="A34" s="3">
        <v>520</v>
      </c>
      <c r="B34" s="8" t="s">
        <v>26</v>
      </c>
      <c r="C34" s="9" t="s">
        <v>27</v>
      </c>
      <c r="D34" s="10" t="s">
        <v>26</v>
      </c>
      <c r="E34" s="3" t="s">
        <v>29</v>
      </c>
      <c r="F34" s="3">
        <v>5</v>
      </c>
      <c r="G34" s="3" t="s">
        <v>22</v>
      </c>
      <c r="H34" s="11">
        <f t="shared" si="0"/>
        <v>2.5</v>
      </c>
      <c r="I34" s="11">
        <f t="shared" si="2"/>
        <v>0</v>
      </c>
      <c r="J34" s="11">
        <f t="shared" si="3"/>
        <v>0</v>
      </c>
    </row>
    <row r="35" spans="1:11" x14ac:dyDescent="0.35">
      <c r="A35" s="3">
        <v>677</v>
      </c>
      <c r="B35" s="8" t="s">
        <v>26</v>
      </c>
      <c r="C35" s="9" t="s">
        <v>26</v>
      </c>
      <c r="D35" s="10" t="s">
        <v>26</v>
      </c>
      <c r="E35" s="3" t="s">
        <v>26</v>
      </c>
      <c r="F35" s="3">
        <v>0</v>
      </c>
      <c r="G35" s="3" t="s">
        <v>20</v>
      </c>
      <c r="H35" s="11">
        <f t="shared" si="0"/>
        <v>0</v>
      </c>
      <c r="I35" s="11">
        <f t="shared" si="2"/>
        <v>0</v>
      </c>
      <c r="J35" s="11">
        <f t="shared" si="3"/>
        <v>0</v>
      </c>
      <c r="K35" s="3" t="s">
        <v>32</v>
      </c>
    </row>
    <row r="36" spans="1:11" x14ac:dyDescent="0.35">
      <c r="A36" s="3">
        <v>517</v>
      </c>
      <c r="B36" s="8" t="s">
        <v>26</v>
      </c>
      <c r="C36" s="9" t="s">
        <v>26</v>
      </c>
      <c r="D36" s="10" t="s">
        <v>26</v>
      </c>
      <c r="E36" s="3" t="s">
        <v>26</v>
      </c>
      <c r="F36" s="3">
        <v>0</v>
      </c>
      <c r="G36" s="3" t="s">
        <v>20</v>
      </c>
      <c r="H36" s="11">
        <f t="shared" si="0"/>
        <v>0</v>
      </c>
      <c r="I36" s="11">
        <f t="shared" si="2"/>
        <v>0</v>
      </c>
      <c r="J36" s="11">
        <f t="shared" si="3"/>
        <v>0</v>
      </c>
      <c r="K36" s="3" t="s">
        <v>32</v>
      </c>
    </row>
    <row r="37" spans="1:11" x14ac:dyDescent="0.35">
      <c r="A37" s="3">
        <v>671</v>
      </c>
      <c r="B37" s="8" t="s">
        <v>26</v>
      </c>
      <c r="C37" s="9" t="s">
        <v>27</v>
      </c>
      <c r="D37" s="10" t="s">
        <v>26</v>
      </c>
      <c r="E37" s="3" t="s">
        <v>26</v>
      </c>
      <c r="F37" s="3">
        <v>5</v>
      </c>
      <c r="G37" s="3" t="s">
        <v>21</v>
      </c>
      <c r="H37" s="11">
        <f t="shared" si="0"/>
        <v>1.25</v>
      </c>
      <c r="I37" s="11">
        <f t="shared" si="2"/>
        <v>0</v>
      </c>
      <c r="J37" s="11">
        <f t="shared" si="3"/>
        <v>0</v>
      </c>
    </row>
    <row r="38" spans="1:11" x14ac:dyDescent="0.35">
      <c r="A38" s="3">
        <v>724</v>
      </c>
      <c r="B38" s="8" t="s">
        <v>26</v>
      </c>
      <c r="C38" s="9" t="s">
        <v>26</v>
      </c>
      <c r="D38" s="10" t="s">
        <v>26</v>
      </c>
      <c r="E38" s="3" t="s">
        <v>26</v>
      </c>
      <c r="F38" s="3">
        <v>0</v>
      </c>
      <c r="G38" s="3" t="s">
        <v>20</v>
      </c>
      <c r="H38" s="11">
        <f t="shared" si="0"/>
        <v>0</v>
      </c>
      <c r="I38" s="11">
        <f t="shared" si="2"/>
        <v>0</v>
      </c>
      <c r="J38" s="11">
        <f t="shared" si="3"/>
        <v>0</v>
      </c>
    </row>
    <row r="39" spans="1:11" x14ac:dyDescent="0.35">
      <c r="A39" s="3">
        <v>24</v>
      </c>
      <c r="B39" s="8" t="s">
        <v>26</v>
      </c>
      <c r="C39" s="9" t="s">
        <v>27</v>
      </c>
      <c r="D39" s="10" t="s">
        <v>26</v>
      </c>
      <c r="E39" s="3" t="s">
        <v>26</v>
      </c>
      <c r="F39" s="3">
        <v>5</v>
      </c>
      <c r="G39" s="3" t="s">
        <v>21</v>
      </c>
      <c r="H39" s="11">
        <f t="shared" si="0"/>
        <v>1.25</v>
      </c>
      <c r="I39" s="11">
        <f t="shared" si="2"/>
        <v>0</v>
      </c>
      <c r="J39" s="11">
        <f t="shared" si="3"/>
        <v>0</v>
      </c>
    </row>
    <row r="40" spans="1:11" x14ac:dyDescent="0.35">
      <c r="A40" s="3">
        <v>705</v>
      </c>
      <c r="B40" s="8" t="s">
        <v>26</v>
      </c>
      <c r="C40" s="9" t="s">
        <v>26</v>
      </c>
      <c r="D40" s="10" t="s">
        <v>26</v>
      </c>
      <c r="E40" s="3" t="s">
        <v>26</v>
      </c>
      <c r="F40" s="3">
        <v>0</v>
      </c>
      <c r="G40" s="3" t="s">
        <v>20</v>
      </c>
      <c r="H40" s="11">
        <f t="shared" si="0"/>
        <v>0</v>
      </c>
      <c r="I40" s="11">
        <f t="shared" si="2"/>
        <v>0</v>
      </c>
      <c r="J40" s="11">
        <f t="shared" si="3"/>
        <v>0</v>
      </c>
    </row>
    <row r="41" spans="1:11" x14ac:dyDescent="0.35">
      <c r="A41" s="3">
        <v>436</v>
      </c>
      <c r="B41" s="8" t="s">
        <v>27</v>
      </c>
      <c r="C41" s="9" t="s">
        <v>27</v>
      </c>
      <c r="D41" s="10" t="s">
        <v>27</v>
      </c>
      <c r="E41" s="3" t="s">
        <v>30</v>
      </c>
      <c r="F41" s="3">
        <v>20</v>
      </c>
      <c r="G41" s="3" t="s">
        <v>23</v>
      </c>
      <c r="H41" s="11">
        <f t="shared" si="0"/>
        <v>15</v>
      </c>
      <c r="I41" s="11">
        <f t="shared" si="2"/>
        <v>0</v>
      </c>
      <c r="J41" s="11">
        <f t="shared" si="3"/>
        <v>1</v>
      </c>
    </row>
    <row r="42" spans="1:11" x14ac:dyDescent="0.35">
      <c r="A42" s="3">
        <v>587</v>
      </c>
      <c r="B42" s="8" t="s">
        <v>26</v>
      </c>
      <c r="C42" s="9" t="s">
        <v>26</v>
      </c>
      <c r="D42" s="10" t="s">
        <v>26</v>
      </c>
      <c r="E42" s="3" t="s">
        <v>26</v>
      </c>
      <c r="F42" s="3">
        <v>0</v>
      </c>
      <c r="G42" s="3" t="s">
        <v>20</v>
      </c>
      <c r="H42" s="11">
        <f t="shared" si="0"/>
        <v>0</v>
      </c>
      <c r="I42" s="11">
        <f t="shared" si="2"/>
        <v>0</v>
      </c>
      <c r="J42" s="11">
        <f t="shared" si="3"/>
        <v>0</v>
      </c>
    </row>
    <row r="43" spans="1:11" x14ac:dyDescent="0.35">
      <c r="A43" s="3">
        <v>150</v>
      </c>
      <c r="B43" s="8" t="s">
        <v>26</v>
      </c>
      <c r="C43" s="9" t="s">
        <v>27</v>
      </c>
      <c r="D43" s="10" t="s">
        <v>27</v>
      </c>
      <c r="E43" s="3" t="s">
        <v>29</v>
      </c>
      <c r="F43" s="3">
        <v>5</v>
      </c>
      <c r="G43" s="3" t="s">
        <v>22</v>
      </c>
      <c r="H43" s="11">
        <f t="shared" si="0"/>
        <v>2.5</v>
      </c>
      <c r="I43" s="11">
        <f t="shared" si="2"/>
        <v>0</v>
      </c>
      <c r="J43" s="11">
        <f t="shared" si="3"/>
        <v>0</v>
      </c>
      <c r="K43" s="3" t="s">
        <v>34</v>
      </c>
    </row>
    <row r="44" spans="1:11" x14ac:dyDescent="0.35">
      <c r="A44" s="3">
        <v>144</v>
      </c>
      <c r="B44" s="8" t="s">
        <v>27</v>
      </c>
      <c r="C44" s="9" t="s">
        <v>26</v>
      </c>
      <c r="D44" s="10" t="s">
        <v>26</v>
      </c>
      <c r="E44" s="3" t="s">
        <v>26</v>
      </c>
      <c r="F44" s="3">
        <v>5</v>
      </c>
      <c r="G44" s="3" t="s">
        <v>21</v>
      </c>
      <c r="H44" s="11">
        <f t="shared" si="0"/>
        <v>1.25</v>
      </c>
      <c r="I44" s="11">
        <f t="shared" si="2"/>
        <v>0</v>
      </c>
      <c r="J44" s="11">
        <f t="shared" si="3"/>
        <v>0</v>
      </c>
    </row>
    <row r="45" spans="1:11" x14ac:dyDescent="0.35">
      <c r="A45" s="3">
        <v>71</v>
      </c>
      <c r="B45" s="8" t="s">
        <v>27</v>
      </c>
      <c r="C45" s="9" t="s">
        <v>26</v>
      </c>
      <c r="D45" s="10" t="s">
        <v>26</v>
      </c>
      <c r="E45" s="3" t="s">
        <v>26</v>
      </c>
      <c r="F45" s="3">
        <v>10</v>
      </c>
      <c r="G45" s="3" t="s">
        <v>21</v>
      </c>
      <c r="H45" s="11">
        <f t="shared" si="0"/>
        <v>2.5</v>
      </c>
      <c r="I45" s="11">
        <f t="shared" si="2"/>
        <v>0</v>
      </c>
      <c r="J45" s="11">
        <f t="shared" si="3"/>
        <v>0</v>
      </c>
    </row>
    <row r="46" spans="1:11" x14ac:dyDescent="0.35">
      <c r="A46" s="3">
        <v>371</v>
      </c>
      <c r="B46" s="8" t="s">
        <v>26</v>
      </c>
      <c r="C46" s="9" t="s">
        <v>27</v>
      </c>
      <c r="D46" s="10" t="s">
        <v>27</v>
      </c>
      <c r="E46" s="3" t="s">
        <v>29</v>
      </c>
      <c r="F46" s="3">
        <v>10</v>
      </c>
      <c r="G46" s="3" t="s">
        <v>22</v>
      </c>
      <c r="H46" s="11">
        <f t="shared" si="0"/>
        <v>5</v>
      </c>
      <c r="I46" s="11">
        <f t="shared" si="2"/>
        <v>0</v>
      </c>
      <c r="J46" s="11">
        <f t="shared" si="3"/>
        <v>0</v>
      </c>
      <c r="K46" s="3" t="s">
        <v>33</v>
      </c>
    </row>
    <row r="47" spans="1:11" x14ac:dyDescent="0.35">
      <c r="A47" s="3">
        <v>495</v>
      </c>
      <c r="B47" s="8" t="s">
        <v>26</v>
      </c>
      <c r="C47" s="9" t="s">
        <v>27</v>
      </c>
      <c r="D47" s="10" t="s">
        <v>26</v>
      </c>
      <c r="E47" s="3" t="s">
        <v>28</v>
      </c>
      <c r="F47" s="3">
        <v>20</v>
      </c>
      <c r="G47" s="3" t="s">
        <v>25</v>
      </c>
      <c r="H47" s="11">
        <f t="shared" si="0"/>
        <v>20</v>
      </c>
      <c r="I47" s="11">
        <f t="shared" si="2"/>
        <v>1</v>
      </c>
      <c r="J47" s="11">
        <f t="shared" si="3"/>
        <v>1</v>
      </c>
      <c r="K47" s="3" t="s">
        <v>35</v>
      </c>
    </row>
    <row r="48" spans="1:11" x14ac:dyDescent="0.35">
      <c r="A48" s="3">
        <v>425</v>
      </c>
      <c r="B48" s="8" t="s">
        <v>27</v>
      </c>
      <c r="C48" s="9" t="s">
        <v>27</v>
      </c>
      <c r="D48" s="10" t="s">
        <v>27</v>
      </c>
      <c r="E48" s="3" t="s">
        <v>30</v>
      </c>
      <c r="F48" s="3">
        <v>10</v>
      </c>
      <c r="G48" s="3" t="s">
        <v>23</v>
      </c>
      <c r="H48" s="11">
        <f t="shared" si="0"/>
        <v>7.5</v>
      </c>
      <c r="I48" s="11">
        <f t="shared" si="2"/>
        <v>0</v>
      </c>
      <c r="J48" s="11">
        <f t="shared" si="3"/>
        <v>1</v>
      </c>
    </row>
    <row r="49" spans="1:11" x14ac:dyDescent="0.35">
      <c r="A49" s="3">
        <v>368</v>
      </c>
      <c r="B49" s="8" t="s">
        <v>26</v>
      </c>
      <c r="C49" s="9" t="s">
        <v>27</v>
      </c>
      <c r="D49" s="10" t="s">
        <v>26</v>
      </c>
      <c r="E49" s="3" t="s">
        <v>29</v>
      </c>
      <c r="F49" s="3">
        <v>5</v>
      </c>
      <c r="G49" s="3" t="s">
        <v>22</v>
      </c>
      <c r="H49" s="11">
        <f t="shared" si="0"/>
        <v>2.5</v>
      </c>
      <c r="I49" s="11">
        <f t="shared" si="2"/>
        <v>0</v>
      </c>
      <c r="J49" s="11">
        <f t="shared" si="3"/>
        <v>0</v>
      </c>
      <c r="K49" s="3" t="s">
        <v>36</v>
      </c>
    </row>
    <row r="50" spans="1:11" x14ac:dyDescent="0.35">
      <c r="A50" s="3">
        <v>296</v>
      </c>
      <c r="B50" s="8" t="s">
        <v>26</v>
      </c>
      <c r="C50" s="9" t="s">
        <v>26</v>
      </c>
      <c r="D50" s="10" t="s">
        <v>26</v>
      </c>
      <c r="E50" s="3" t="s">
        <v>26</v>
      </c>
      <c r="F50" s="3">
        <v>0</v>
      </c>
      <c r="G50" s="3" t="s">
        <v>20</v>
      </c>
      <c r="H50" s="11">
        <f t="shared" si="0"/>
        <v>0</v>
      </c>
      <c r="I50" s="11">
        <f t="shared" si="2"/>
        <v>0</v>
      </c>
      <c r="J50" s="11">
        <f t="shared" si="3"/>
        <v>0</v>
      </c>
      <c r="K50" s="3" t="s">
        <v>37</v>
      </c>
    </row>
    <row r="51" spans="1:11" x14ac:dyDescent="0.35">
      <c r="A51" s="3">
        <v>515</v>
      </c>
      <c r="B51" s="8" t="s">
        <v>26</v>
      </c>
      <c r="C51" s="9" t="s">
        <v>26</v>
      </c>
      <c r="D51" s="10" t="s">
        <v>26</v>
      </c>
      <c r="E51" s="3" t="s">
        <v>26</v>
      </c>
      <c r="F51" s="3">
        <v>0</v>
      </c>
      <c r="G51" s="3" t="s">
        <v>20</v>
      </c>
      <c r="H51" s="11">
        <f t="shared" si="0"/>
        <v>0</v>
      </c>
      <c r="I51" s="11">
        <f t="shared" si="2"/>
        <v>0</v>
      </c>
      <c r="J51" s="11">
        <f t="shared" si="3"/>
        <v>0</v>
      </c>
      <c r="K51" s="3" t="s">
        <v>37</v>
      </c>
    </row>
    <row r="52" spans="1:11" x14ac:dyDescent="0.35">
      <c r="A52" s="3">
        <v>9</v>
      </c>
      <c r="B52" s="8" t="s">
        <v>26</v>
      </c>
      <c r="C52" s="9" t="s">
        <v>26</v>
      </c>
      <c r="D52" s="10" t="s">
        <v>26</v>
      </c>
      <c r="E52" s="3" t="s">
        <v>26</v>
      </c>
      <c r="F52" s="3">
        <v>0</v>
      </c>
      <c r="G52" s="3" t="s">
        <v>20</v>
      </c>
      <c r="H52" s="11">
        <f t="shared" si="0"/>
        <v>0</v>
      </c>
      <c r="I52" s="11">
        <f t="shared" si="2"/>
        <v>0</v>
      </c>
      <c r="J52" s="11">
        <f t="shared" si="3"/>
        <v>0</v>
      </c>
    </row>
    <row r="53" spans="1:11" x14ac:dyDescent="0.35">
      <c r="A53" s="3">
        <v>628</v>
      </c>
      <c r="B53" s="8" t="s">
        <v>26</v>
      </c>
      <c r="C53" s="9" t="s">
        <v>26</v>
      </c>
      <c r="D53" s="10" t="s">
        <v>26</v>
      </c>
      <c r="E53" s="3" t="s">
        <v>26</v>
      </c>
      <c r="F53" s="3">
        <v>0</v>
      </c>
      <c r="G53" s="3" t="s">
        <v>20</v>
      </c>
      <c r="H53" s="11">
        <f t="shared" si="0"/>
        <v>0</v>
      </c>
      <c r="I53" s="11">
        <f t="shared" si="2"/>
        <v>0</v>
      </c>
      <c r="J53" s="11">
        <f t="shared" si="3"/>
        <v>0</v>
      </c>
    </row>
    <row r="54" spans="1:11" x14ac:dyDescent="0.35">
      <c r="A54" s="3">
        <v>180</v>
      </c>
      <c r="B54" s="8" t="s">
        <v>26</v>
      </c>
      <c r="C54" s="9" t="s">
        <v>26</v>
      </c>
      <c r="D54" s="10" t="s">
        <v>26</v>
      </c>
      <c r="E54" s="3" t="s">
        <v>26</v>
      </c>
      <c r="F54" s="3">
        <v>0</v>
      </c>
      <c r="G54" s="3" t="s">
        <v>20</v>
      </c>
      <c r="H54" s="11">
        <f t="shared" si="0"/>
        <v>0</v>
      </c>
      <c r="I54" s="11">
        <f t="shared" si="2"/>
        <v>0</v>
      </c>
      <c r="J54" s="11">
        <f t="shared" si="3"/>
        <v>0</v>
      </c>
    </row>
    <row r="55" spans="1:11" x14ac:dyDescent="0.35">
      <c r="A55" s="3">
        <v>664</v>
      </c>
      <c r="B55" s="8" t="s">
        <v>26</v>
      </c>
      <c r="C55" s="9" t="s">
        <v>26</v>
      </c>
      <c r="D55" s="10" t="s">
        <v>26</v>
      </c>
      <c r="E55" s="3" t="s">
        <v>26</v>
      </c>
      <c r="F55" s="3">
        <v>0</v>
      </c>
      <c r="G55" s="3" t="s">
        <v>20</v>
      </c>
      <c r="H55" s="11">
        <f t="shared" si="0"/>
        <v>0</v>
      </c>
      <c r="I55" s="11">
        <f t="shared" si="2"/>
        <v>0</v>
      </c>
      <c r="J55" s="11">
        <f t="shared" si="3"/>
        <v>0</v>
      </c>
    </row>
    <row r="56" spans="1:11" x14ac:dyDescent="0.35">
      <c r="A56" s="3">
        <v>136</v>
      </c>
      <c r="B56" s="8" t="s">
        <v>27</v>
      </c>
      <c r="C56" s="9" t="s">
        <v>27</v>
      </c>
      <c r="D56" s="10" t="s">
        <v>26</v>
      </c>
      <c r="E56" s="3" t="s">
        <v>26</v>
      </c>
      <c r="F56" s="3">
        <v>5</v>
      </c>
      <c r="G56" s="3" t="s">
        <v>21</v>
      </c>
      <c r="H56" s="11">
        <f t="shared" si="0"/>
        <v>1.25</v>
      </c>
      <c r="I56" s="11">
        <f t="shared" si="2"/>
        <v>0</v>
      </c>
      <c r="J56" s="11">
        <f t="shared" si="3"/>
        <v>0</v>
      </c>
    </row>
    <row r="57" spans="1:11" x14ac:dyDescent="0.35">
      <c r="A57" s="3">
        <v>648</v>
      </c>
      <c r="B57" s="8" t="s">
        <v>27</v>
      </c>
      <c r="C57" s="9" t="s">
        <v>27</v>
      </c>
      <c r="D57" s="10" t="s">
        <v>27</v>
      </c>
      <c r="E57" s="3" t="s">
        <v>28</v>
      </c>
      <c r="F57" s="3">
        <v>70</v>
      </c>
      <c r="G57" s="3" t="s">
        <v>25</v>
      </c>
      <c r="H57" s="11">
        <f t="shared" si="0"/>
        <v>70</v>
      </c>
      <c r="I57" s="11">
        <f t="shared" si="2"/>
        <v>1</v>
      </c>
      <c r="J57" s="11">
        <f t="shared" si="3"/>
        <v>1</v>
      </c>
      <c r="K57" s="3" t="s">
        <v>39</v>
      </c>
    </row>
    <row r="58" spans="1:11" x14ac:dyDescent="0.35">
      <c r="A58" s="3">
        <v>171</v>
      </c>
      <c r="B58" s="8" t="s">
        <v>26</v>
      </c>
      <c r="C58" s="9" t="s">
        <v>27</v>
      </c>
      <c r="D58" s="10" t="s">
        <v>27</v>
      </c>
      <c r="E58" s="3" t="s">
        <v>28</v>
      </c>
      <c r="F58" s="3">
        <v>50</v>
      </c>
      <c r="G58" s="3" t="s">
        <v>25</v>
      </c>
      <c r="H58" s="11">
        <f t="shared" si="0"/>
        <v>50</v>
      </c>
      <c r="I58" s="11">
        <f t="shared" si="2"/>
        <v>1</v>
      </c>
      <c r="J58" s="11">
        <f t="shared" si="3"/>
        <v>1</v>
      </c>
      <c r="K58" s="3" t="s">
        <v>39</v>
      </c>
    </row>
    <row r="59" spans="1:11" x14ac:dyDescent="0.35">
      <c r="A59" s="3">
        <v>346</v>
      </c>
      <c r="B59" s="8" t="s">
        <v>27</v>
      </c>
      <c r="C59" s="9" t="s">
        <v>27</v>
      </c>
      <c r="D59" s="10" t="s">
        <v>27</v>
      </c>
      <c r="E59" s="3" t="s">
        <v>28</v>
      </c>
      <c r="F59" s="3">
        <v>50</v>
      </c>
      <c r="G59" s="3" t="s">
        <v>25</v>
      </c>
      <c r="H59" s="11">
        <f t="shared" si="0"/>
        <v>50</v>
      </c>
      <c r="I59" s="11">
        <f t="shared" si="2"/>
        <v>1</v>
      </c>
      <c r="J59" s="11">
        <f t="shared" si="3"/>
        <v>1</v>
      </c>
      <c r="K59" s="3" t="s">
        <v>40</v>
      </c>
    </row>
    <row r="60" spans="1:11" x14ac:dyDescent="0.35">
      <c r="A60" s="3">
        <v>684</v>
      </c>
      <c r="B60" s="8" t="s">
        <v>26</v>
      </c>
      <c r="C60" s="9" t="s">
        <v>26</v>
      </c>
      <c r="D60" s="10" t="s">
        <v>27</v>
      </c>
      <c r="E60" s="3" t="s">
        <v>26</v>
      </c>
      <c r="F60" s="3">
        <v>5</v>
      </c>
      <c r="G60" s="3" t="s">
        <v>21</v>
      </c>
      <c r="H60" s="11">
        <f t="shared" si="0"/>
        <v>1.25</v>
      </c>
      <c r="I60" s="11">
        <f t="shared" si="2"/>
        <v>0</v>
      </c>
      <c r="J60" s="11">
        <f t="shared" si="3"/>
        <v>0</v>
      </c>
    </row>
    <row r="61" spans="1:11" x14ac:dyDescent="0.35">
      <c r="A61" s="3">
        <v>529</v>
      </c>
      <c r="B61" s="8" t="s">
        <v>27</v>
      </c>
      <c r="C61" s="9" t="s">
        <v>26</v>
      </c>
      <c r="D61" s="10" t="s">
        <v>26</v>
      </c>
      <c r="E61" s="3" t="s">
        <v>26</v>
      </c>
      <c r="F61" s="3">
        <v>5</v>
      </c>
      <c r="G61" s="3" t="s">
        <v>21</v>
      </c>
      <c r="H61" s="11">
        <f t="shared" si="0"/>
        <v>1.25</v>
      </c>
      <c r="I61" s="11">
        <f t="shared" si="2"/>
        <v>0</v>
      </c>
      <c r="J61" s="11">
        <f t="shared" si="3"/>
        <v>0</v>
      </c>
    </row>
    <row r="62" spans="1:11" x14ac:dyDescent="0.35">
      <c r="A62" s="3">
        <v>178</v>
      </c>
      <c r="H62" s="11" t="e">
        <f t="shared" si="0"/>
        <v>#N/A</v>
      </c>
      <c r="I62" s="11"/>
      <c r="J62" s="11"/>
      <c r="K62" s="3" t="s">
        <v>41</v>
      </c>
    </row>
    <row r="63" spans="1:11" x14ac:dyDescent="0.35">
      <c r="A63" s="3">
        <v>322</v>
      </c>
      <c r="B63" s="8" t="s">
        <v>27</v>
      </c>
      <c r="C63" s="9" t="s">
        <v>27</v>
      </c>
      <c r="D63" s="10" t="s">
        <v>26</v>
      </c>
      <c r="E63" s="3" t="s">
        <v>26</v>
      </c>
      <c r="F63" s="3">
        <v>5</v>
      </c>
      <c r="G63" s="3" t="s">
        <v>21</v>
      </c>
      <c r="H63" s="11">
        <f t="shared" si="0"/>
        <v>1.25</v>
      </c>
      <c r="I63" s="11">
        <f t="shared" si="2"/>
        <v>0</v>
      </c>
      <c r="J63" s="11">
        <f t="shared" si="3"/>
        <v>0</v>
      </c>
    </row>
    <row r="64" spans="1:11" x14ac:dyDescent="0.35">
      <c r="A64" s="3">
        <v>77</v>
      </c>
      <c r="B64" s="8" t="s">
        <v>26</v>
      </c>
      <c r="C64" s="9" t="s">
        <v>27</v>
      </c>
      <c r="D64" s="10" t="s">
        <v>26</v>
      </c>
      <c r="E64" s="3" t="s">
        <v>29</v>
      </c>
      <c r="F64" s="3">
        <v>40</v>
      </c>
      <c r="G64" s="3" t="s">
        <v>22</v>
      </c>
      <c r="H64" s="11">
        <f t="shared" si="0"/>
        <v>20</v>
      </c>
      <c r="I64" s="11">
        <f t="shared" si="2"/>
        <v>0</v>
      </c>
      <c r="J64" s="11">
        <f t="shared" si="3"/>
        <v>0</v>
      </c>
    </row>
    <row r="65" spans="1:11" x14ac:dyDescent="0.35">
      <c r="A65" s="3">
        <v>16</v>
      </c>
      <c r="B65" s="8" t="s">
        <v>27</v>
      </c>
      <c r="C65" s="9" t="s">
        <v>26</v>
      </c>
      <c r="D65" s="10" t="s">
        <v>26</v>
      </c>
      <c r="E65" s="3" t="s">
        <v>26</v>
      </c>
      <c r="F65" s="3">
        <v>5</v>
      </c>
      <c r="G65" s="3" t="s">
        <v>21</v>
      </c>
      <c r="H65" s="11">
        <f t="shared" si="0"/>
        <v>1.25</v>
      </c>
      <c r="I65" s="11">
        <f t="shared" si="2"/>
        <v>0</v>
      </c>
      <c r="J65" s="11">
        <f t="shared" si="3"/>
        <v>0</v>
      </c>
    </row>
    <row r="66" spans="1:11" x14ac:dyDescent="0.35">
      <c r="A66" s="3">
        <v>457</v>
      </c>
      <c r="B66" s="8" t="s">
        <v>27</v>
      </c>
      <c r="C66" s="9" t="s">
        <v>27</v>
      </c>
      <c r="D66" s="10" t="s">
        <v>26</v>
      </c>
      <c r="E66" s="3" t="s">
        <v>26</v>
      </c>
      <c r="F66" s="3">
        <v>20</v>
      </c>
      <c r="G66" s="3" t="s">
        <v>21</v>
      </c>
      <c r="H66" s="11">
        <f t="shared" si="0"/>
        <v>5</v>
      </c>
      <c r="I66" s="11">
        <f t="shared" si="2"/>
        <v>0</v>
      </c>
      <c r="J66" s="11">
        <f t="shared" si="3"/>
        <v>0</v>
      </c>
    </row>
    <row r="67" spans="1:11" x14ac:dyDescent="0.35">
      <c r="A67" s="3">
        <v>87</v>
      </c>
      <c r="B67" s="8" t="s">
        <v>27</v>
      </c>
      <c r="C67" s="9" t="s">
        <v>27</v>
      </c>
      <c r="D67" s="10" t="s">
        <v>27</v>
      </c>
      <c r="E67" s="3" t="s">
        <v>30</v>
      </c>
      <c r="F67" s="3">
        <v>40</v>
      </c>
      <c r="G67" s="3" t="s">
        <v>23</v>
      </c>
      <c r="H67" s="11">
        <f t="shared" ref="H67:H130" si="4">INDEX(U:U, MATCH(G67, T:T, 0))*F67</f>
        <v>30</v>
      </c>
      <c r="I67" s="11">
        <f t="shared" si="2"/>
        <v>0</v>
      </c>
      <c r="J67" s="11">
        <f t="shared" si="3"/>
        <v>1</v>
      </c>
    </row>
    <row r="68" spans="1:11" x14ac:dyDescent="0.35">
      <c r="A68" s="3">
        <v>197</v>
      </c>
      <c r="B68" s="8" t="s">
        <v>26</v>
      </c>
      <c r="C68" s="9" t="s">
        <v>27</v>
      </c>
      <c r="D68" s="10" t="s">
        <v>27</v>
      </c>
      <c r="E68" s="3" t="s">
        <v>28</v>
      </c>
      <c r="F68" s="3">
        <v>10</v>
      </c>
      <c r="G68" s="3" t="s">
        <v>24</v>
      </c>
      <c r="H68" s="11">
        <f t="shared" si="4"/>
        <v>8.75</v>
      </c>
      <c r="I68" s="11">
        <f t="shared" ref="I68:I130" si="5">IF(COUNTIF($T$3:$T$6, G68) &gt; 0, 0, 1)</f>
        <v>1</v>
      </c>
      <c r="J68" s="11">
        <f t="shared" ref="J68:J130" si="6">IF(COUNTIF(T$3:T$5, G68) &gt; 0, 0, 1)</f>
        <v>1</v>
      </c>
    </row>
    <row r="69" spans="1:11" x14ac:dyDescent="0.35">
      <c r="A69" s="3">
        <v>676</v>
      </c>
      <c r="B69" s="8" t="s">
        <v>27</v>
      </c>
      <c r="C69" s="9" t="s">
        <v>26</v>
      </c>
      <c r="D69" s="10" t="s">
        <v>26</v>
      </c>
      <c r="E69" s="3" t="s">
        <v>26</v>
      </c>
      <c r="F69" s="3">
        <v>5</v>
      </c>
      <c r="G69" s="3" t="s">
        <v>21</v>
      </c>
      <c r="H69" s="11">
        <f t="shared" si="4"/>
        <v>1.25</v>
      </c>
      <c r="I69" s="11">
        <f t="shared" si="5"/>
        <v>0</v>
      </c>
      <c r="J69" s="11">
        <f t="shared" si="6"/>
        <v>0</v>
      </c>
    </row>
    <row r="70" spans="1:11" x14ac:dyDescent="0.35">
      <c r="A70" s="3">
        <v>549</v>
      </c>
      <c r="B70" s="8" t="s">
        <v>27</v>
      </c>
      <c r="C70" s="9" t="s">
        <v>26</v>
      </c>
      <c r="D70" s="10" t="s">
        <v>26</v>
      </c>
      <c r="E70" s="3" t="s">
        <v>26</v>
      </c>
      <c r="F70" s="3">
        <v>5</v>
      </c>
      <c r="G70" s="3" t="s">
        <v>21</v>
      </c>
      <c r="H70" s="11">
        <f t="shared" si="4"/>
        <v>1.25</v>
      </c>
      <c r="I70" s="11">
        <f t="shared" si="5"/>
        <v>0</v>
      </c>
      <c r="J70" s="11">
        <f t="shared" si="6"/>
        <v>0</v>
      </c>
    </row>
    <row r="71" spans="1:11" x14ac:dyDescent="0.35">
      <c r="A71" s="3">
        <v>96</v>
      </c>
      <c r="B71" s="8" t="s">
        <v>26</v>
      </c>
      <c r="C71" s="9" t="s">
        <v>26</v>
      </c>
      <c r="D71" s="10" t="s">
        <v>26</v>
      </c>
      <c r="E71" s="3" t="s">
        <v>26</v>
      </c>
      <c r="F71" s="3">
        <v>0</v>
      </c>
      <c r="G71" s="3" t="s">
        <v>20</v>
      </c>
      <c r="H71" s="11">
        <f t="shared" si="4"/>
        <v>0</v>
      </c>
      <c r="I71" s="11">
        <f t="shared" si="5"/>
        <v>0</v>
      </c>
      <c r="J71" s="11">
        <f t="shared" si="6"/>
        <v>0</v>
      </c>
    </row>
    <row r="72" spans="1:11" x14ac:dyDescent="0.35">
      <c r="A72" s="3">
        <v>532</v>
      </c>
      <c r="B72" s="8" t="s">
        <v>26</v>
      </c>
      <c r="C72" s="9" t="s">
        <v>26</v>
      </c>
      <c r="D72" s="10" t="s">
        <v>26</v>
      </c>
      <c r="E72" s="3" t="s">
        <v>26</v>
      </c>
      <c r="F72" s="3">
        <v>0</v>
      </c>
      <c r="G72" s="3" t="s">
        <v>20</v>
      </c>
      <c r="H72" s="11">
        <f t="shared" si="4"/>
        <v>0</v>
      </c>
      <c r="I72" s="11">
        <f t="shared" si="5"/>
        <v>0</v>
      </c>
      <c r="J72" s="11">
        <f t="shared" si="6"/>
        <v>0</v>
      </c>
    </row>
    <row r="73" spans="1:11" x14ac:dyDescent="0.35">
      <c r="A73" s="3">
        <v>154</v>
      </c>
      <c r="B73" s="8" t="s">
        <v>26</v>
      </c>
      <c r="C73" s="9" t="s">
        <v>26</v>
      </c>
      <c r="D73" s="10" t="s">
        <v>26</v>
      </c>
      <c r="E73" s="3" t="s">
        <v>26</v>
      </c>
      <c r="F73" s="3">
        <v>0</v>
      </c>
      <c r="G73" s="3" t="s">
        <v>20</v>
      </c>
      <c r="H73" s="11">
        <f t="shared" si="4"/>
        <v>0</v>
      </c>
      <c r="I73" s="11">
        <f t="shared" si="5"/>
        <v>0</v>
      </c>
      <c r="J73" s="11">
        <f t="shared" si="6"/>
        <v>0</v>
      </c>
    </row>
    <row r="74" spans="1:11" x14ac:dyDescent="0.35">
      <c r="A74" s="3">
        <v>329</v>
      </c>
      <c r="B74" s="8" t="s">
        <v>27</v>
      </c>
      <c r="C74" s="9" t="s">
        <v>27</v>
      </c>
      <c r="D74" s="10" t="s">
        <v>27</v>
      </c>
      <c r="E74" s="3" t="s">
        <v>29</v>
      </c>
      <c r="F74" s="3">
        <v>10</v>
      </c>
      <c r="G74" s="3" t="s">
        <v>22</v>
      </c>
      <c r="H74" s="11">
        <f t="shared" si="4"/>
        <v>5</v>
      </c>
      <c r="I74" s="11">
        <f t="shared" si="5"/>
        <v>0</v>
      </c>
      <c r="J74" s="11">
        <f t="shared" si="6"/>
        <v>0</v>
      </c>
      <c r="K74" s="3" t="s">
        <v>34</v>
      </c>
    </row>
    <row r="75" spans="1:11" x14ac:dyDescent="0.35">
      <c r="A75" s="3">
        <v>7</v>
      </c>
      <c r="B75" s="8" t="s">
        <v>27</v>
      </c>
      <c r="C75" s="9" t="s">
        <v>26</v>
      </c>
      <c r="D75" s="10" t="s">
        <v>26</v>
      </c>
      <c r="E75" s="3" t="s">
        <v>26</v>
      </c>
      <c r="F75" s="3">
        <v>5</v>
      </c>
      <c r="G75" s="3" t="s">
        <v>21</v>
      </c>
      <c r="H75" s="11">
        <f t="shared" si="4"/>
        <v>1.25</v>
      </c>
      <c r="I75" s="11">
        <f t="shared" si="5"/>
        <v>0</v>
      </c>
      <c r="J75" s="11">
        <f t="shared" si="6"/>
        <v>0</v>
      </c>
    </row>
    <row r="76" spans="1:11" x14ac:dyDescent="0.35">
      <c r="A76" s="3">
        <v>492</v>
      </c>
      <c r="B76" s="8" t="s">
        <v>26</v>
      </c>
      <c r="C76" s="9" t="s">
        <v>27</v>
      </c>
      <c r="D76" s="10" t="s">
        <v>27</v>
      </c>
      <c r="E76" s="3" t="s">
        <v>29</v>
      </c>
      <c r="F76" s="3">
        <v>10</v>
      </c>
      <c r="G76" s="3" t="s">
        <v>22</v>
      </c>
      <c r="H76" s="11">
        <f t="shared" si="4"/>
        <v>5</v>
      </c>
      <c r="I76" s="11">
        <f t="shared" si="5"/>
        <v>0</v>
      </c>
      <c r="J76" s="11">
        <f t="shared" si="6"/>
        <v>0</v>
      </c>
      <c r="K76" s="3" t="s">
        <v>34</v>
      </c>
    </row>
    <row r="77" spans="1:11" x14ac:dyDescent="0.35">
      <c r="A77" s="3">
        <v>718</v>
      </c>
      <c r="B77" s="8" t="s">
        <v>26</v>
      </c>
      <c r="C77" s="9" t="s">
        <v>26</v>
      </c>
      <c r="D77" s="10" t="s">
        <v>26</v>
      </c>
      <c r="E77" s="3" t="s">
        <v>26</v>
      </c>
      <c r="F77" s="3">
        <v>0</v>
      </c>
      <c r="G77" s="3" t="s">
        <v>20</v>
      </c>
      <c r="H77" s="11">
        <f t="shared" si="4"/>
        <v>0</v>
      </c>
      <c r="I77" s="11">
        <f t="shared" si="5"/>
        <v>0</v>
      </c>
      <c r="J77" s="11">
        <f t="shared" si="6"/>
        <v>0</v>
      </c>
    </row>
    <row r="78" spans="1:11" x14ac:dyDescent="0.35">
      <c r="A78" s="3">
        <v>227</v>
      </c>
      <c r="B78" s="8" t="s">
        <v>26</v>
      </c>
      <c r="C78" s="9" t="s">
        <v>26</v>
      </c>
      <c r="D78" s="10" t="s">
        <v>26</v>
      </c>
      <c r="E78" s="3" t="s">
        <v>26</v>
      </c>
      <c r="F78" s="3">
        <v>0</v>
      </c>
      <c r="G78" s="3" t="s">
        <v>20</v>
      </c>
      <c r="H78" s="11">
        <f t="shared" si="4"/>
        <v>0</v>
      </c>
      <c r="I78" s="11">
        <f t="shared" si="5"/>
        <v>0</v>
      </c>
      <c r="J78" s="11">
        <f t="shared" si="6"/>
        <v>0</v>
      </c>
      <c r="K78" s="3" t="s">
        <v>37</v>
      </c>
    </row>
    <row r="79" spans="1:11" x14ac:dyDescent="0.35">
      <c r="A79" s="3">
        <v>404</v>
      </c>
      <c r="B79" s="8" t="s">
        <v>26</v>
      </c>
      <c r="C79" s="9" t="s">
        <v>27</v>
      </c>
      <c r="D79" s="10" t="s">
        <v>26</v>
      </c>
      <c r="E79" s="3" t="s">
        <v>28</v>
      </c>
      <c r="F79" s="3">
        <v>20</v>
      </c>
      <c r="G79" s="3" t="s">
        <v>24</v>
      </c>
      <c r="H79" s="11">
        <f t="shared" si="4"/>
        <v>17.5</v>
      </c>
      <c r="I79" s="11">
        <f t="shared" si="5"/>
        <v>1</v>
      </c>
      <c r="J79" s="11">
        <f t="shared" si="6"/>
        <v>1</v>
      </c>
    </row>
    <row r="80" spans="1:11" x14ac:dyDescent="0.35">
      <c r="A80" s="3">
        <v>547</v>
      </c>
      <c r="B80" s="8" t="s">
        <v>27</v>
      </c>
      <c r="C80" s="9" t="s">
        <v>26</v>
      </c>
      <c r="D80" s="10" t="s">
        <v>26</v>
      </c>
      <c r="E80" s="3" t="s">
        <v>26</v>
      </c>
      <c r="F80" s="3">
        <v>5</v>
      </c>
      <c r="G80" s="3" t="s">
        <v>21</v>
      </c>
      <c r="H80" s="11">
        <f t="shared" si="4"/>
        <v>1.25</v>
      </c>
      <c r="I80" s="11">
        <f t="shared" si="5"/>
        <v>0</v>
      </c>
      <c r="J80" s="11">
        <f t="shared" si="6"/>
        <v>0</v>
      </c>
    </row>
    <row r="81" spans="1:11" x14ac:dyDescent="0.35">
      <c r="A81" s="3">
        <v>496</v>
      </c>
      <c r="B81" s="8" t="s">
        <v>27</v>
      </c>
      <c r="C81" s="9" t="s">
        <v>26</v>
      </c>
      <c r="D81" s="10" t="s">
        <v>26</v>
      </c>
      <c r="E81" s="3" t="s">
        <v>26</v>
      </c>
      <c r="F81" s="3">
        <v>5</v>
      </c>
      <c r="G81" s="3" t="s">
        <v>21</v>
      </c>
      <c r="H81" s="11">
        <f t="shared" si="4"/>
        <v>1.25</v>
      </c>
      <c r="I81" s="11">
        <f t="shared" si="5"/>
        <v>0</v>
      </c>
      <c r="J81" s="11">
        <f t="shared" si="6"/>
        <v>0</v>
      </c>
    </row>
    <row r="82" spans="1:11" x14ac:dyDescent="0.35">
      <c r="A82" s="3">
        <v>499</v>
      </c>
      <c r="B82" s="8" t="s">
        <v>26</v>
      </c>
      <c r="C82" s="9" t="s">
        <v>27</v>
      </c>
      <c r="D82" s="10" t="s">
        <v>27</v>
      </c>
      <c r="E82" s="3" t="s">
        <v>30</v>
      </c>
      <c r="F82" s="3">
        <v>20</v>
      </c>
      <c r="G82" s="3" t="s">
        <v>23</v>
      </c>
      <c r="H82" s="11">
        <f t="shared" si="4"/>
        <v>15</v>
      </c>
      <c r="I82" s="11">
        <f t="shared" si="5"/>
        <v>0</v>
      </c>
      <c r="J82" s="11">
        <f t="shared" si="6"/>
        <v>1</v>
      </c>
    </row>
    <row r="83" spans="1:11" x14ac:dyDescent="0.35">
      <c r="A83" s="3">
        <v>627</v>
      </c>
      <c r="B83" s="8" t="s">
        <v>27</v>
      </c>
      <c r="C83" s="9" t="s">
        <v>26</v>
      </c>
      <c r="D83" s="10" t="s">
        <v>26</v>
      </c>
      <c r="E83" s="3" t="s">
        <v>26</v>
      </c>
      <c r="F83" s="3">
        <v>10</v>
      </c>
      <c r="G83" s="3" t="s">
        <v>21</v>
      </c>
      <c r="H83" s="11">
        <f t="shared" si="4"/>
        <v>2.5</v>
      </c>
      <c r="I83" s="11">
        <f t="shared" si="5"/>
        <v>0</v>
      </c>
      <c r="J83" s="11">
        <f t="shared" si="6"/>
        <v>0</v>
      </c>
    </row>
    <row r="84" spans="1:11" x14ac:dyDescent="0.35">
      <c r="A84" s="3">
        <v>226</v>
      </c>
      <c r="B84" s="8" t="s">
        <v>26</v>
      </c>
      <c r="C84" s="9" t="s">
        <v>27</v>
      </c>
      <c r="D84" s="10" t="s">
        <v>27</v>
      </c>
      <c r="E84" s="3" t="s">
        <v>30</v>
      </c>
      <c r="F84" s="3">
        <v>50</v>
      </c>
      <c r="G84" s="3" t="s">
        <v>23</v>
      </c>
      <c r="H84" s="11">
        <f t="shared" si="4"/>
        <v>37.5</v>
      </c>
      <c r="I84" s="11">
        <f t="shared" si="5"/>
        <v>0</v>
      </c>
      <c r="J84" s="11">
        <f t="shared" si="6"/>
        <v>1</v>
      </c>
    </row>
    <row r="85" spans="1:11" x14ac:dyDescent="0.35">
      <c r="A85" s="3">
        <v>698</v>
      </c>
      <c r="B85" s="8" t="s">
        <v>26</v>
      </c>
      <c r="C85" s="9" t="s">
        <v>26</v>
      </c>
      <c r="D85" s="10" t="s">
        <v>26</v>
      </c>
      <c r="E85" s="3" t="s">
        <v>26</v>
      </c>
      <c r="F85" s="3">
        <v>0</v>
      </c>
      <c r="G85" s="3" t="s">
        <v>20</v>
      </c>
      <c r="H85" s="11">
        <f t="shared" si="4"/>
        <v>0</v>
      </c>
      <c r="I85" s="11">
        <f t="shared" si="5"/>
        <v>0</v>
      </c>
      <c r="J85" s="11">
        <f t="shared" si="6"/>
        <v>0</v>
      </c>
    </row>
    <row r="86" spans="1:11" x14ac:dyDescent="0.35">
      <c r="A86" s="3">
        <v>42</v>
      </c>
      <c r="B86" s="8" t="s">
        <v>27</v>
      </c>
      <c r="C86" s="9" t="s">
        <v>26</v>
      </c>
      <c r="D86" s="10" t="s">
        <v>26</v>
      </c>
      <c r="E86" s="3" t="s">
        <v>26</v>
      </c>
      <c r="F86" s="3">
        <v>5</v>
      </c>
      <c r="G86" s="3" t="s">
        <v>21</v>
      </c>
      <c r="H86" s="11">
        <f t="shared" si="4"/>
        <v>1.25</v>
      </c>
      <c r="I86" s="11">
        <f t="shared" si="5"/>
        <v>0</v>
      </c>
      <c r="J86" s="11">
        <f t="shared" si="6"/>
        <v>0</v>
      </c>
    </row>
    <row r="87" spans="1:11" x14ac:dyDescent="0.35">
      <c r="A87" s="3">
        <v>721</v>
      </c>
      <c r="B87" s="8" t="s">
        <v>27</v>
      </c>
      <c r="C87" s="9" t="s">
        <v>26</v>
      </c>
      <c r="D87" s="10" t="s">
        <v>26</v>
      </c>
      <c r="E87" s="3" t="s">
        <v>26</v>
      </c>
      <c r="F87" s="3">
        <v>5</v>
      </c>
      <c r="G87" s="3" t="s">
        <v>21</v>
      </c>
      <c r="H87" s="11">
        <f t="shared" si="4"/>
        <v>1.25</v>
      </c>
      <c r="I87" s="11">
        <f t="shared" si="5"/>
        <v>0</v>
      </c>
      <c r="J87" s="11">
        <f t="shared" si="6"/>
        <v>0</v>
      </c>
    </row>
    <row r="88" spans="1:11" x14ac:dyDescent="0.35">
      <c r="A88" s="3">
        <v>678</v>
      </c>
      <c r="B88" s="8" t="s">
        <v>26</v>
      </c>
      <c r="C88" s="9" t="s">
        <v>26</v>
      </c>
      <c r="D88" s="10" t="s">
        <v>26</v>
      </c>
      <c r="E88" s="3" t="s">
        <v>26</v>
      </c>
      <c r="F88" s="3">
        <v>0</v>
      </c>
      <c r="G88" s="3" t="s">
        <v>20</v>
      </c>
      <c r="H88" s="11">
        <f t="shared" si="4"/>
        <v>0</v>
      </c>
      <c r="I88" s="11">
        <f t="shared" si="5"/>
        <v>0</v>
      </c>
      <c r="J88" s="11">
        <f t="shared" si="6"/>
        <v>0</v>
      </c>
    </row>
    <row r="89" spans="1:11" x14ac:dyDescent="0.35">
      <c r="A89" s="3">
        <v>629</v>
      </c>
      <c r="B89" s="8" t="s">
        <v>27</v>
      </c>
      <c r="C89" s="9" t="s">
        <v>27</v>
      </c>
      <c r="D89" s="10" t="s">
        <v>27</v>
      </c>
      <c r="E89" s="3" t="s">
        <v>30</v>
      </c>
      <c r="F89" s="3">
        <v>10</v>
      </c>
      <c r="G89" s="3" t="s">
        <v>23</v>
      </c>
      <c r="H89" s="11">
        <f t="shared" si="4"/>
        <v>7.5</v>
      </c>
      <c r="I89" s="11">
        <f t="shared" si="5"/>
        <v>0</v>
      </c>
      <c r="J89" s="11">
        <f t="shared" si="6"/>
        <v>1</v>
      </c>
    </row>
    <row r="90" spans="1:11" x14ac:dyDescent="0.35">
      <c r="A90" s="3">
        <v>199</v>
      </c>
      <c r="B90" s="8" t="s">
        <v>26</v>
      </c>
      <c r="C90" s="9" t="s">
        <v>27</v>
      </c>
      <c r="D90" s="10" t="s">
        <v>27</v>
      </c>
      <c r="E90" s="3" t="s">
        <v>28</v>
      </c>
      <c r="F90" s="3">
        <v>10</v>
      </c>
      <c r="G90" s="3" t="s">
        <v>24</v>
      </c>
      <c r="H90" s="11">
        <f t="shared" si="4"/>
        <v>8.75</v>
      </c>
      <c r="I90" s="11">
        <f t="shared" si="5"/>
        <v>1</v>
      </c>
      <c r="J90" s="11">
        <f t="shared" si="6"/>
        <v>1</v>
      </c>
      <c r="K90" s="3" t="s">
        <v>38</v>
      </c>
    </row>
    <row r="91" spans="1:11" x14ac:dyDescent="0.35">
      <c r="A91" s="3">
        <v>418</v>
      </c>
      <c r="B91" s="8" t="s">
        <v>26</v>
      </c>
      <c r="C91" s="9" t="s">
        <v>26</v>
      </c>
      <c r="D91" s="10" t="s">
        <v>26</v>
      </c>
      <c r="E91" s="3" t="s">
        <v>28</v>
      </c>
      <c r="F91" s="3">
        <v>50</v>
      </c>
      <c r="G91" s="3" t="s">
        <v>25</v>
      </c>
      <c r="H91" s="11">
        <f t="shared" si="4"/>
        <v>50</v>
      </c>
      <c r="I91" s="11">
        <f t="shared" si="5"/>
        <v>1</v>
      </c>
      <c r="J91" s="11">
        <f t="shared" si="6"/>
        <v>1</v>
      </c>
    </row>
    <row r="92" spans="1:11" x14ac:dyDescent="0.35">
      <c r="A92" s="3">
        <v>552</v>
      </c>
      <c r="B92" s="8" t="s">
        <v>26</v>
      </c>
      <c r="C92" s="9" t="s">
        <v>26</v>
      </c>
      <c r="D92" s="10" t="s">
        <v>26</v>
      </c>
      <c r="E92" s="3" t="s">
        <v>26</v>
      </c>
      <c r="F92" s="3">
        <v>0</v>
      </c>
      <c r="G92" s="3" t="s">
        <v>20</v>
      </c>
      <c r="H92" s="11">
        <f t="shared" si="4"/>
        <v>0</v>
      </c>
      <c r="I92" s="11">
        <f t="shared" si="5"/>
        <v>0</v>
      </c>
      <c r="J92" s="11">
        <f t="shared" si="6"/>
        <v>0</v>
      </c>
    </row>
    <row r="93" spans="1:11" x14ac:dyDescent="0.35">
      <c r="A93" s="3">
        <v>399</v>
      </c>
      <c r="B93" s="8" t="s">
        <v>26</v>
      </c>
      <c r="C93" s="9" t="s">
        <v>26</v>
      </c>
      <c r="D93" s="10" t="s">
        <v>26</v>
      </c>
      <c r="E93" s="3" t="s">
        <v>26</v>
      </c>
      <c r="F93" s="3">
        <v>0</v>
      </c>
      <c r="G93" s="3" t="s">
        <v>20</v>
      </c>
      <c r="H93" s="11">
        <f t="shared" si="4"/>
        <v>0</v>
      </c>
      <c r="I93" s="11">
        <f t="shared" si="5"/>
        <v>0</v>
      </c>
      <c r="J93" s="11">
        <f t="shared" si="6"/>
        <v>0</v>
      </c>
    </row>
    <row r="94" spans="1:11" x14ac:dyDescent="0.35">
      <c r="A94" s="3">
        <v>152</v>
      </c>
      <c r="B94" s="8" t="s">
        <v>26</v>
      </c>
      <c r="C94" s="9" t="s">
        <v>27</v>
      </c>
      <c r="D94" s="10" t="s">
        <v>27</v>
      </c>
      <c r="E94" s="3" t="s">
        <v>28</v>
      </c>
      <c r="F94" s="3">
        <v>90</v>
      </c>
      <c r="G94" s="3" t="s">
        <v>24</v>
      </c>
      <c r="H94" s="11">
        <f t="shared" si="4"/>
        <v>78.75</v>
      </c>
      <c r="I94" s="11">
        <f t="shared" si="5"/>
        <v>1</v>
      </c>
      <c r="J94" s="11">
        <f t="shared" si="6"/>
        <v>1</v>
      </c>
      <c r="K94" s="3" t="s">
        <v>42</v>
      </c>
    </row>
    <row r="95" spans="1:11" x14ac:dyDescent="0.35">
      <c r="A95" s="3">
        <v>5</v>
      </c>
      <c r="B95" s="8" t="s">
        <v>26</v>
      </c>
      <c r="C95" s="9" t="s">
        <v>26</v>
      </c>
      <c r="D95" s="10" t="s">
        <v>26</v>
      </c>
      <c r="E95" s="3" t="s">
        <v>26</v>
      </c>
      <c r="F95" s="3">
        <v>0</v>
      </c>
      <c r="G95" s="3" t="s">
        <v>20</v>
      </c>
      <c r="H95" s="11">
        <f t="shared" si="4"/>
        <v>0</v>
      </c>
      <c r="I95" s="11">
        <f t="shared" si="5"/>
        <v>0</v>
      </c>
      <c r="J95" s="11">
        <f t="shared" si="6"/>
        <v>0</v>
      </c>
    </row>
    <row r="96" spans="1:11" x14ac:dyDescent="0.35">
      <c r="A96" s="3">
        <v>310</v>
      </c>
      <c r="B96" s="8" t="s">
        <v>26</v>
      </c>
      <c r="C96" s="9" t="s">
        <v>26</v>
      </c>
      <c r="D96" s="10" t="s">
        <v>26</v>
      </c>
      <c r="E96" s="3" t="s">
        <v>26</v>
      </c>
      <c r="F96" s="3">
        <v>0</v>
      </c>
      <c r="G96" s="3" t="s">
        <v>20</v>
      </c>
      <c r="H96" s="11">
        <f t="shared" si="4"/>
        <v>0</v>
      </c>
      <c r="I96" s="11">
        <f t="shared" si="5"/>
        <v>0</v>
      </c>
      <c r="J96" s="11">
        <f t="shared" si="6"/>
        <v>0</v>
      </c>
    </row>
    <row r="97" spans="1:11" x14ac:dyDescent="0.35">
      <c r="A97" s="3">
        <v>6</v>
      </c>
      <c r="B97" s="8" t="s">
        <v>26</v>
      </c>
      <c r="C97" s="9" t="s">
        <v>26</v>
      </c>
      <c r="D97" s="10" t="s">
        <v>26</v>
      </c>
      <c r="E97" s="3" t="s">
        <v>26</v>
      </c>
      <c r="F97" s="3">
        <v>0</v>
      </c>
      <c r="G97" s="3" t="s">
        <v>20</v>
      </c>
      <c r="H97" s="11">
        <f t="shared" si="4"/>
        <v>0</v>
      </c>
      <c r="I97" s="11">
        <f t="shared" si="5"/>
        <v>0</v>
      </c>
      <c r="J97" s="11">
        <f t="shared" si="6"/>
        <v>0</v>
      </c>
    </row>
    <row r="98" spans="1:11" x14ac:dyDescent="0.35">
      <c r="A98" s="3">
        <v>176</v>
      </c>
      <c r="B98" s="8" t="s">
        <v>26</v>
      </c>
      <c r="C98" s="9" t="s">
        <v>26</v>
      </c>
      <c r="D98" s="10" t="s">
        <v>26</v>
      </c>
      <c r="E98" s="3" t="s">
        <v>26</v>
      </c>
      <c r="F98" s="3">
        <v>0</v>
      </c>
      <c r="G98" s="3" t="s">
        <v>20</v>
      </c>
      <c r="H98" s="11">
        <f t="shared" si="4"/>
        <v>0</v>
      </c>
      <c r="I98" s="11">
        <f t="shared" si="5"/>
        <v>0</v>
      </c>
      <c r="J98" s="11">
        <f t="shared" si="6"/>
        <v>0</v>
      </c>
    </row>
    <row r="99" spans="1:11" x14ac:dyDescent="0.35">
      <c r="A99" s="3">
        <v>158</v>
      </c>
      <c r="B99" s="8" t="s">
        <v>26</v>
      </c>
      <c r="C99" s="9" t="s">
        <v>27</v>
      </c>
      <c r="D99" s="10" t="s">
        <v>27</v>
      </c>
      <c r="E99" s="3" t="s">
        <v>28</v>
      </c>
      <c r="F99" s="3">
        <v>40</v>
      </c>
      <c r="G99" s="3" t="s">
        <v>24</v>
      </c>
      <c r="H99" s="11">
        <f t="shared" si="4"/>
        <v>35</v>
      </c>
      <c r="I99" s="11">
        <f t="shared" si="5"/>
        <v>1</v>
      </c>
      <c r="J99" s="11">
        <f t="shared" si="6"/>
        <v>1</v>
      </c>
    </row>
    <row r="100" spans="1:11" x14ac:dyDescent="0.35">
      <c r="A100" s="3">
        <v>550</v>
      </c>
      <c r="B100" s="8" t="s">
        <v>26</v>
      </c>
      <c r="C100" s="9" t="s">
        <v>26</v>
      </c>
      <c r="D100" s="10" t="s">
        <v>26</v>
      </c>
      <c r="E100" s="3" t="s">
        <v>26</v>
      </c>
      <c r="F100" s="3">
        <v>0</v>
      </c>
      <c r="G100" s="3" t="s">
        <v>20</v>
      </c>
      <c r="H100" s="11">
        <f t="shared" si="4"/>
        <v>0</v>
      </c>
      <c r="I100" s="11">
        <f t="shared" si="5"/>
        <v>0</v>
      </c>
      <c r="J100" s="11">
        <f t="shared" si="6"/>
        <v>0</v>
      </c>
    </row>
    <row r="101" spans="1:11" x14ac:dyDescent="0.35">
      <c r="A101" s="3">
        <v>704</v>
      </c>
      <c r="B101" s="8" t="s">
        <v>26</v>
      </c>
      <c r="C101" s="9" t="s">
        <v>26</v>
      </c>
      <c r="D101" s="10" t="s">
        <v>26</v>
      </c>
      <c r="E101" s="3" t="s">
        <v>26</v>
      </c>
      <c r="F101" s="3">
        <v>0</v>
      </c>
      <c r="G101" s="3" t="s">
        <v>20</v>
      </c>
      <c r="H101" s="11">
        <f t="shared" si="4"/>
        <v>0</v>
      </c>
      <c r="I101" s="11">
        <f t="shared" si="5"/>
        <v>0</v>
      </c>
      <c r="J101" s="11">
        <f t="shared" si="6"/>
        <v>0</v>
      </c>
    </row>
    <row r="102" spans="1:11" x14ac:dyDescent="0.35">
      <c r="A102" s="3">
        <v>99</v>
      </c>
      <c r="B102" s="8" t="s">
        <v>26</v>
      </c>
      <c r="C102" s="9" t="s">
        <v>27</v>
      </c>
      <c r="D102" s="10" t="s">
        <v>26</v>
      </c>
      <c r="E102" s="3" t="s">
        <v>29</v>
      </c>
      <c r="F102" s="3">
        <v>5</v>
      </c>
      <c r="G102" s="3" t="s">
        <v>22</v>
      </c>
      <c r="H102" s="11">
        <f t="shared" si="4"/>
        <v>2.5</v>
      </c>
      <c r="I102" s="11">
        <f t="shared" si="5"/>
        <v>0</v>
      </c>
      <c r="J102" s="11">
        <f t="shared" si="6"/>
        <v>0</v>
      </c>
      <c r="K102" s="3" t="s">
        <v>43</v>
      </c>
    </row>
    <row r="103" spans="1:11" x14ac:dyDescent="0.35">
      <c r="A103" s="3">
        <v>349</v>
      </c>
      <c r="B103" s="8" t="s">
        <v>27</v>
      </c>
      <c r="C103" s="9" t="s">
        <v>27</v>
      </c>
      <c r="D103" s="10" t="s">
        <v>27</v>
      </c>
      <c r="E103" s="3" t="s">
        <v>28</v>
      </c>
      <c r="F103" s="3">
        <v>40</v>
      </c>
      <c r="G103" s="3" t="s">
        <v>25</v>
      </c>
      <c r="H103" s="11">
        <f t="shared" si="4"/>
        <v>40</v>
      </c>
      <c r="I103" s="11">
        <f t="shared" si="5"/>
        <v>1</v>
      </c>
      <c r="J103" s="11">
        <f t="shared" si="6"/>
        <v>1</v>
      </c>
      <c r="K103" s="3" t="s">
        <v>35</v>
      </c>
    </row>
    <row r="104" spans="1:11" x14ac:dyDescent="0.35">
      <c r="A104" s="3">
        <v>303</v>
      </c>
      <c r="B104" s="8" t="s">
        <v>27</v>
      </c>
      <c r="C104" s="9" t="s">
        <v>26</v>
      </c>
      <c r="D104" s="10" t="s">
        <v>26</v>
      </c>
      <c r="E104" s="3" t="s">
        <v>26</v>
      </c>
      <c r="F104" s="3">
        <v>5</v>
      </c>
      <c r="G104" s="3" t="s">
        <v>21</v>
      </c>
      <c r="H104" s="11">
        <f t="shared" si="4"/>
        <v>1.25</v>
      </c>
      <c r="I104" s="11">
        <f t="shared" si="5"/>
        <v>0</v>
      </c>
      <c r="J104" s="11">
        <f t="shared" si="6"/>
        <v>0</v>
      </c>
    </row>
    <row r="105" spans="1:11" x14ac:dyDescent="0.35">
      <c r="A105" s="3">
        <v>330</v>
      </c>
      <c r="B105" s="8" t="s">
        <v>27</v>
      </c>
      <c r="C105" s="9" t="s">
        <v>27</v>
      </c>
      <c r="D105" s="10" t="s">
        <v>26</v>
      </c>
      <c r="E105" s="3" t="s">
        <v>26</v>
      </c>
      <c r="F105" s="3">
        <v>5</v>
      </c>
      <c r="G105" s="3" t="s">
        <v>21</v>
      </c>
      <c r="H105" s="11">
        <f t="shared" si="4"/>
        <v>1.25</v>
      </c>
      <c r="I105" s="11">
        <f t="shared" si="5"/>
        <v>0</v>
      </c>
      <c r="J105" s="11">
        <f t="shared" si="6"/>
        <v>0</v>
      </c>
    </row>
    <row r="106" spans="1:11" x14ac:dyDescent="0.35">
      <c r="A106" s="3">
        <v>696</v>
      </c>
      <c r="B106" s="8" t="s">
        <v>27</v>
      </c>
      <c r="C106" s="9" t="s">
        <v>27</v>
      </c>
      <c r="D106" s="10" t="s">
        <v>26</v>
      </c>
      <c r="E106" s="3" t="s">
        <v>26</v>
      </c>
      <c r="F106" s="3">
        <v>10</v>
      </c>
      <c r="G106" s="3" t="s">
        <v>21</v>
      </c>
      <c r="H106" s="11">
        <f t="shared" si="4"/>
        <v>2.5</v>
      </c>
      <c r="I106" s="11">
        <f t="shared" si="5"/>
        <v>0</v>
      </c>
      <c r="J106" s="11">
        <f t="shared" si="6"/>
        <v>0</v>
      </c>
    </row>
    <row r="107" spans="1:11" x14ac:dyDescent="0.35">
      <c r="A107" s="3">
        <v>458</v>
      </c>
      <c r="B107" s="8" t="s">
        <v>27</v>
      </c>
      <c r="C107" s="9" t="s">
        <v>27</v>
      </c>
      <c r="D107" s="10" t="s">
        <v>27</v>
      </c>
      <c r="E107" s="3" t="s">
        <v>30</v>
      </c>
      <c r="F107" s="3">
        <v>20</v>
      </c>
      <c r="G107" s="3" t="s">
        <v>23</v>
      </c>
      <c r="H107" s="11">
        <f t="shared" si="4"/>
        <v>15</v>
      </c>
      <c r="I107" s="11">
        <f t="shared" si="5"/>
        <v>0</v>
      </c>
      <c r="J107" s="11">
        <f t="shared" si="6"/>
        <v>1</v>
      </c>
    </row>
    <row r="108" spans="1:11" x14ac:dyDescent="0.35">
      <c r="A108" s="3">
        <v>472</v>
      </c>
      <c r="B108" s="8" t="s">
        <v>26</v>
      </c>
      <c r="C108" s="9" t="s">
        <v>27</v>
      </c>
      <c r="D108" s="10" t="s">
        <v>26</v>
      </c>
      <c r="E108" s="3" t="s">
        <v>29</v>
      </c>
      <c r="F108" s="3">
        <v>5</v>
      </c>
      <c r="G108" s="3" t="s">
        <v>22</v>
      </c>
      <c r="H108" s="11">
        <f t="shared" si="4"/>
        <v>2.5</v>
      </c>
      <c r="I108" s="11">
        <f t="shared" si="5"/>
        <v>0</v>
      </c>
      <c r="J108" s="11">
        <f t="shared" si="6"/>
        <v>0</v>
      </c>
    </row>
    <row r="109" spans="1:11" x14ac:dyDescent="0.35">
      <c r="A109" s="3">
        <v>2</v>
      </c>
      <c r="B109" s="8" t="s">
        <v>26</v>
      </c>
      <c r="C109" s="9" t="s">
        <v>27</v>
      </c>
      <c r="D109" s="10" t="s">
        <v>26</v>
      </c>
      <c r="E109" s="3" t="s">
        <v>26</v>
      </c>
      <c r="F109" s="3">
        <v>5</v>
      </c>
      <c r="G109" s="3" t="s">
        <v>21</v>
      </c>
      <c r="H109" s="11">
        <f t="shared" si="4"/>
        <v>1.25</v>
      </c>
      <c r="I109" s="11">
        <f t="shared" si="5"/>
        <v>0</v>
      </c>
      <c r="J109" s="11">
        <f t="shared" si="6"/>
        <v>0</v>
      </c>
    </row>
    <row r="110" spans="1:11" x14ac:dyDescent="0.35">
      <c r="A110" s="3">
        <v>477</v>
      </c>
      <c r="B110" s="8" t="s">
        <v>26</v>
      </c>
      <c r="C110" s="9" t="s">
        <v>26</v>
      </c>
      <c r="D110" s="10" t="s">
        <v>26</v>
      </c>
      <c r="E110" s="3" t="s">
        <v>26</v>
      </c>
      <c r="F110" s="3">
        <v>0</v>
      </c>
      <c r="G110" s="3" t="s">
        <v>20</v>
      </c>
      <c r="H110" s="11">
        <f t="shared" si="4"/>
        <v>0</v>
      </c>
      <c r="I110" s="11">
        <f t="shared" si="5"/>
        <v>0</v>
      </c>
      <c r="J110" s="11">
        <f t="shared" si="6"/>
        <v>0</v>
      </c>
    </row>
    <row r="111" spans="1:11" x14ac:dyDescent="0.35">
      <c r="A111" s="3">
        <v>531</v>
      </c>
      <c r="B111" s="8" t="s">
        <v>26</v>
      </c>
      <c r="C111" s="9" t="s">
        <v>26</v>
      </c>
      <c r="D111" s="10" t="s">
        <v>26</v>
      </c>
      <c r="E111" s="3" t="s">
        <v>26</v>
      </c>
      <c r="F111" s="3">
        <v>0</v>
      </c>
      <c r="G111" s="3" t="s">
        <v>20</v>
      </c>
      <c r="H111" s="11">
        <f t="shared" si="4"/>
        <v>0</v>
      </c>
      <c r="I111" s="11">
        <f t="shared" si="5"/>
        <v>0</v>
      </c>
      <c r="J111" s="11">
        <f t="shared" si="6"/>
        <v>0</v>
      </c>
    </row>
    <row r="112" spans="1:11" x14ac:dyDescent="0.35">
      <c r="A112" s="3">
        <v>45</v>
      </c>
      <c r="B112" s="8" t="s">
        <v>27</v>
      </c>
      <c r="C112" s="9" t="s">
        <v>27</v>
      </c>
      <c r="D112" s="10" t="s">
        <v>27</v>
      </c>
      <c r="E112" s="3" t="s">
        <v>26</v>
      </c>
      <c r="F112" s="3">
        <v>10</v>
      </c>
      <c r="G112" s="3" t="s">
        <v>21</v>
      </c>
      <c r="H112" s="11">
        <f t="shared" si="4"/>
        <v>2.5</v>
      </c>
      <c r="I112" s="11">
        <f t="shared" si="5"/>
        <v>0</v>
      </c>
      <c r="J112" s="11">
        <f t="shared" si="6"/>
        <v>0</v>
      </c>
    </row>
    <row r="113" spans="1:11" x14ac:dyDescent="0.35">
      <c r="A113" s="3">
        <v>232</v>
      </c>
      <c r="B113" s="8" t="s">
        <v>27</v>
      </c>
      <c r="C113" s="9" t="s">
        <v>26</v>
      </c>
      <c r="D113" s="10" t="s">
        <v>26</v>
      </c>
      <c r="E113" s="3" t="s">
        <v>26</v>
      </c>
      <c r="F113" s="3">
        <v>5</v>
      </c>
      <c r="G113" s="3" t="s">
        <v>21</v>
      </c>
      <c r="H113" s="11">
        <f t="shared" si="4"/>
        <v>1.25</v>
      </c>
      <c r="I113" s="11">
        <f t="shared" si="5"/>
        <v>0</v>
      </c>
      <c r="J113" s="11">
        <f t="shared" si="6"/>
        <v>0</v>
      </c>
    </row>
    <row r="114" spans="1:11" x14ac:dyDescent="0.35">
      <c r="A114" s="3">
        <v>50</v>
      </c>
      <c r="B114" s="8" t="s">
        <v>27</v>
      </c>
      <c r="C114" s="9" t="s">
        <v>26</v>
      </c>
      <c r="D114" s="10" t="s">
        <v>26</v>
      </c>
      <c r="E114" s="3" t="s">
        <v>26</v>
      </c>
      <c r="F114" s="3">
        <v>5</v>
      </c>
      <c r="G114" s="3" t="s">
        <v>21</v>
      </c>
      <c r="H114" s="11">
        <f t="shared" si="4"/>
        <v>1.25</v>
      </c>
      <c r="I114" s="11">
        <f t="shared" si="5"/>
        <v>0</v>
      </c>
      <c r="J114" s="11">
        <f t="shared" si="6"/>
        <v>0</v>
      </c>
    </row>
    <row r="115" spans="1:11" x14ac:dyDescent="0.35">
      <c r="A115" s="3">
        <v>104</v>
      </c>
      <c r="B115" s="8" t="s">
        <v>26</v>
      </c>
      <c r="C115" s="9" t="s">
        <v>27</v>
      </c>
      <c r="D115" s="10" t="s">
        <v>27</v>
      </c>
      <c r="E115" s="3" t="s">
        <v>28</v>
      </c>
      <c r="F115" s="3">
        <v>40</v>
      </c>
      <c r="G115" s="3" t="s">
        <v>24</v>
      </c>
      <c r="H115" s="11">
        <f t="shared" si="4"/>
        <v>35</v>
      </c>
      <c r="I115" s="11">
        <f t="shared" si="5"/>
        <v>1</v>
      </c>
      <c r="J115" s="11">
        <f t="shared" si="6"/>
        <v>1</v>
      </c>
    </row>
    <row r="116" spans="1:11" x14ac:dyDescent="0.35">
      <c r="A116" s="3">
        <v>566</v>
      </c>
      <c r="B116" s="8" t="s">
        <v>26</v>
      </c>
      <c r="C116" s="9" t="s">
        <v>26</v>
      </c>
      <c r="D116" s="10" t="s">
        <v>26</v>
      </c>
      <c r="E116" s="3" t="s">
        <v>26</v>
      </c>
      <c r="F116" s="3">
        <v>0</v>
      </c>
      <c r="G116" s="3" t="s">
        <v>20</v>
      </c>
      <c r="H116" s="11">
        <f t="shared" si="4"/>
        <v>0</v>
      </c>
      <c r="I116" s="11">
        <f t="shared" si="5"/>
        <v>0</v>
      </c>
      <c r="J116" s="11">
        <f t="shared" si="6"/>
        <v>0</v>
      </c>
    </row>
    <row r="117" spans="1:11" x14ac:dyDescent="0.35">
      <c r="A117" s="3">
        <v>403</v>
      </c>
      <c r="B117" s="8" t="s">
        <v>26</v>
      </c>
      <c r="C117" s="9" t="s">
        <v>27</v>
      </c>
      <c r="D117" s="10" t="s">
        <v>27</v>
      </c>
      <c r="E117" s="3" t="s">
        <v>30</v>
      </c>
      <c r="F117" s="3">
        <v>25</v>
      </c>
      <c r="G117" s="3" t="s">
        <v>23</v>
      </c>
      <c r="H117" s="11">
        <f t="shared" si="4"/>
        <v>18.75</v>
      </c>
      <c r="I117" s="11">
        <f t="shared" si="5"/>
        <v>0</v>
      </c>
      <c r="J117" s="11">
        <f t="shared" si="6"/>
        <v>1</v>
      </c>
    </row>
    <row r="118" spans="1:11" x14ac:dyDescent="0.35">
      <c r="A118" s="3">
        <v>153</v>
      </c>
      <c r="B118" s="8" t="s">
        <v>26</v>
      </c>
      <c r="C118" s="9" t="s">
        <v>26</v>
      </c>
      <c r="D118" s="10" t="s">
        <v>26</v>
      </c>
      <c r="E118" s="3" t="s">
        <v>26</v>
      </c>
      <c r="F118" s="3">
        <v>0</v>
      </c>
      <c r="G118" s="3" t="s">
        <v>20</v>
      </c>
      <c r="H118" s="11">
        <f t="shared" si="4"/>
        <v>0</v>
      </c>
      <c r="I118" s="11">
        <f t="shared" si="5"/>
        <v>0</v>
      </c>
      <c r="J118" s="11">
        <f t="shared" si="6"/>
        <v>0</v>
      </c>
    </row>
    <row r="119" spans="1:11" x14ac:dyDescent="0.35">
      <c r="A119" s="3">
        <v>49</v>
      </c>
      <c r="B119" s="8" t="s">
        <v>26</v>
      </c>
      <c r="C119" s="9" t="s">
        <v>26</v>
      </c>
      <c r="D119" s="10" t="s">
        <v>26</v>
      </c>
      <c r="E119" s="3" t="s">
        <v>26</v>
      </c>
      <c r="F119" s="3">
        <v>0</v>
      </c>
      <c r="G119" s="3" t="s">
        <v>20</v>
      </c>
      <c r="H119" s="11">
        <f t="shared" si="4"/>
        <v>0</v>
      </c>
      <c r="I119" s="11">
        <f t="shared" si="5"/>
        <v>0</v>
      </c>
      <c r="J119" s="11">
        <f t="shared" si="6"/>
        <v>0</v>
      </c>
    </row>
    <row r="120" spans="1:11" x14ac:dyDescent="0.35">
      <c r="A120" s="3">
        <v>474</v>
      </c>
      <c r="B120" s="8" t="s">
        <v>26</v>
      </c>
      <c r="C120" s="9" t="s">
        <v>26</v>
      </c>
      <c r="D120" s="10" t="s">
        <v>26</v>
      </c>
      <c r="E120" s="3" t="s">
        <v>26</v>
      </c>
      <c r="F120" s="3">
        <v>0</v>
      </c>
      <c r="G120" s="3" t="s">
        <v>20</v>
      </c>
      <c r="H120" s="11">
        <f t="shared" si="4"/>
        <v>0</v>
      </c>
      <c r="I120" s="11">
        <f t="shared" si="5"/>
        <v>0</v>
      </c>
      <c r="J120" s="11">
        <f t="shared" si="6"/>
        <v>0</v>
      </c>
    </row>
    <row r="121" spans="1:11" x14ac:dyDescent="0.35">
      <c r="A121" s="3">
        <v>214</v>
      </c>
      <c r="B121" s="8" t="s">
        <v>26</v>
      </c>
      <c r="C121" s="9" t="s">
        <v>27</v>
      </c>
      <c r="D121" s="10" t="s">
        <v>26</v>
      </c>
      <c r="E121" s="3" t="s">
        <v>28</v>
      </c>
      <c r="F121" s="3">
        <v>80</v>
      </c>
      <c r="G121" s="3" t="s">
        <v>24</v>
      </c>
      <c r="H121" s="11">
        <f t="shared" si="4"/>
        <v>70</v>
      </c>
      <c r="I121" s="11">
        <f t="shared" si="5"/>
        <v>1</v>
      </c>
      <c r="J121" s="11">
        <f t="shared" si="6"/>
        <v>1</v>
      </c>
      <c r="K121" s="3" t="s">
        <v>38</v>
      </c>
    </row>
    <row r="122" spans="1:11" x14ac:dyDescent="0.35">
      <c r="A122" s="3">
        <v>365</v>
      </c>
      <c r="B122" s="8" t="s">
        <v>26</v>
      </c>
      <c r="C122" s="9" t="s">
        <v>26</v>
      </c>
      <c r="D122" s="10" t="s">
        <v>26</v>
      </c>
      <c r="E122" s="3" t="s">
        <v>26</v>
      </c>
      <c r="F122" s="3">
        <v>0</v>
      </c>
      <c r="G122" s="3" t="s">
        <v>20</v>
      </c>
      <c r="H122" s="11">
        <f t="shared" si="4"/>
        <v>0</v>
      </c>
      <c r="I122" s="11">
        <f t="shared" si="5"/>
        <v>0</v>
      </c>
      <c r="J122" s="11">
        <f t="shared" si="6"/>
        <v>0</v>
      </c>
    </row>
    <row r="123" spans="1:11" x14ac:dyDescent="0.35">
      <c r="A123" s="3">
        <v>369</v>
      </c>
      <c r="B123" s="8" t="s">
        <v>26</v>
      </c>
      <c r="C123" s="9" t="s">
        <v>26</v>
      </c>
      <c r="D123" s="10" t="s">
        <v>26</v>
      </c>
      <c r="E123" s="3" t="s">
        <v>26</v>
      </c>
      <c r="F123" s="3">
        <v>0</v>
      </c>
      <c r="G123" s="3" t="s">
        <v>20</v>
      </c>
      <c r="H123" s="11">
        <f t="shared" si="4"/>
        <v>0</v>
      </c>
      <c r="I123" s="11">
        <f t="shared" si="5"/>
        <v>0</v>
      </c>
      <c r="J123" s="11">
        <f t="shared" si="6"/>
        <v>0</v>
      </c>
    </row>
    <row r="124" spans="1:11" x14ac:dyDescent="0.35">
      <c r="A124" s="3">
        <v>361</v>
      </c>
      <c r="B124" s="8" t="s">
        <v>26</v>
      </c>
      <c r="C124" s="9" t="s">
        <v>26</v>
      </c>
      <c r="D124" s="10" t="s">
        <v>26</v>
      </c>
      <c r="E124" s="3" t="s">
        <v>26</v>
      </c>
      <c r="F124" s="3">
        <v>0</v>
      </c>
      <c r="G124" s="3" t="s">
        <v>20</v>
      </c>
      <c r="H124" s="11">
        <f t="shared" si="4"/>
        <v>0</v>
      </c>
      <c r="I124" s="11">
        <f t="shared" si="5"/>
        <v>0</v>
      </c>
      <c r="J124" s="11">
        <f t="shared" si="6"/>
        <v>0</v>
      </c>
    </row>
    <row r="125" spans="1:11" x14ac:dyDescent="0.35">
      <c r="A125" s="3">
        <v>367</v>
      </c>
      <c r="B125" s="8" t="s">
        <v>26</v>
      </c>
      <c r="C125" s="9" t="s">
        <v>27</v>
      </c>
      <c r="D125" s="10" t="s">
        <v>27</v>
      </c>
      <c r="E125" s="3" t="s">
        <v>30</v>
      </c>
      <c r="F125" s="3">
        <v>20</v>
      </c>
      <c r="G125" s="3" t="s">
        <v>24</v>
      </c>
      <c r="H125" s="11">
        <f t="shared" si="4"/>
        <v>17.5</v>
      </c>
      <c r="I125" s="11">
        <f t="shared" si="5"/>
        <v>1</v>
      </c>
      <c r="J125" s="11">
        <f t="shared" si="6"/>
        <v>1</v>
      </c>
      <c r="K125" s="3" t="s">
        <v>44</v>
      </c>
    </row>
    <row r="126" spans="1:11" x14ac:dyDescent="0.35">
      <c r="A126" s="3">
        <v>746</v>
      </c>
      <c r="B126" s="8" t="s">
        <v>26</v>
      </c>
      <c r="C126" s="9" t="s">
        <v>26</v>
      </c>
      <c r="D126" s="10" t="s">
        <v>26</v>
      </c>
      <c r="E126" s="3" t="s">
        <v>26</v>
      </c>
      <c r="F126" s="3">
        <v>0</v>
      </c>
      <c r="G126" s="3" t="s">
        <v>20</v>
      </c>
      <c r="H126" s="11">
        <f t="shared" si="4"/>
        <v>0</v>
      </c>
      <c r="I126" s="11">
        <f t="shared" si="5"/>
        <v>0</v>
      </c>
      <c r="J126" s="11">
        <f t="shared" si="6"/>
        <v>0</v>
      </c>
    </row>
    <row r="127" spans="1:11" x14ac:dyDescent="0.35">
      <c r="A127" s="3">
        <v>362</v>
      </c>
      <c r="B127" s="8" t="s">
        <v>26</v>
      </c>
      <c r="C127" s="9" t="s">
        <v>26</v>
      </c>
      <c r="D127" s="10" t="s">
        <v>26</v>
      </c>
      <c r="E127" s="3" t="s">
        <v>26</v>
      </c>
      <c r="F127" s="3">
        <v>0</v>
      </c>
      <c r="G127" s="3" t="s">
        <v>20</v>
      </c>
      <c r="H127" s="11">
        <f t="shared" si="4"/>
        <v>0</v>
      </c>
      <c r="I127" s="11">
        <f t="shared" si="5"/>
        <v>0</v>
      </c>
      <c r="J127" s="11">
        <f t="shared" si="6"/>
        <v>0</v>
      </c>
    </row>
    <row r="128" spans="1:11" x14ac:dyDescent="0.35">
      <c r="A128" s="3">
        <v>308</v>
      </c>
      <c r="B128" s="8" t="s">
        <v>26</v>
      </c>
      <c r="C128" s="9" t="s">
        <v>26</v>
      </c>
      <c r="D128" s="10" t="s">
        <v>26</v>
      </c>
      <c r="E128" s="3" t="s">
        <v>26</v>
      </c>
      <c r="F128" s="3">
        <v>0</v>
      </c>
      <c r="G128" s="3" t="s">
        <v>20</v>
      </c>
      <c r="H128" s="11">
        <f t="shared" si="4"/>
        <v>0</v>
      </c>
      <c r="I128" s="11">
        <f t="shared" si="5"/>
        <v>0</v>
      </c>
      <c r="J128" s="11">
        <f t="shared" si="6"/>
        <v>0</v>
      </c>
    </row>
    <row r="129" spans="1:11" x14ac:dyDescent="0.35">
      <c r="A129" s="3">
        <v>471</v>
      </c>
      <c r="B129" s="8" t="s">
        <v>26</v>
      </c>
      <c r="C129" s="9" t="s">
        <v>27</v>
      </c>
      <c r="D129" s="10" t="s">
        <v>26</v>
      </c>
      <c r="E129" s="3" t="s">
        <v>29</v>
      </c>
      <c r="F129" s="3">
        <v>15</v>
      </c>
      <c r="G129" s="3" t="s">
        <v>22</v>
      </c>
      <c r="H129" s="11">
        <f t="shared" si="4"/>
        <v>7.5</v>
      </c>
      <c r="I129" s="11">
        <f t="shared" si="5"/>
        <v>0</v>
      </c>
      <c r="J129" s="11">
        <f t="shared" si="6"/>
        <v>0</v>
      </c>
      <c r="K129" s="3" t="s">
        <v>37</v>
      </c>
    </row>
    <row r="130" spans="1:11" x14ac:dyDescent="0.35">
      <c r="A130" s="3">
        <v>596</v>
      </c>
      <c r="B130" s="8" t="s">
        <v>26</v>
      </c>
      <c r="C130" s="9" t="s">
        <v>26</v>
      </c>
      <c r="D130" s="10" t="s">
        <v>26</v>
      </c>
      <c r="E130" s="3" t="s">
        <v>26</v>
      </c>
      <c r="F130" s="3">
        <v>0</v>
      </c>
      <c r="G130" s="3" t="s">
        <v>20</v>
      </c>
      <c r="H130" s="11">
        <f t="shared" si="4"/>
        <v>0</v>
      </c>
      <c r="I130" s="11">
        <f t="shared" si="5"/>
        <v>0</v>
      </c>
      <c r="J130" s="11">
        <f t="shared" si="6"/>
        <v>0</v>
      </c>
    </row>
    <row r="131" spans="1:11" x14ac:dyDescent="0.35">
      <c r="A131" s="3">
        <v>48</v>
      </c>
      <c r="B131" s="8" t="s">
        <v>26</v>
      </c>
      <c r="C131" s="9" t="s">
        <v>27</v>
      </c>
      <c r="D131" s="10" t="s">
        <v>26</v>
      </c>
      <c r="E131" s="3" t="s">
        <v>29</v>
      </c>
      <c r="F131" s="3">
        <v>10</v>
      </c>
      <c r="G131" s="3" t="s">
        <v>22</v>
      </c>
      <c r="H131" s="11">
        <f t="shared" ref="H131:H194" si="7">INDEX(U:U, MATCH(G131, T:T, 0))*F131</f>
        <v>5</v>
      </c>
      <c r="I131" s="11">
        <f t="shared" ref="I131:I192" si="8">IF(COUNTIF($T$3:$T$6, G131) &gt; 0, 0, 1)</f>
        <v>0</v>
      </c>
      <c r="J131" s="11">
        <f t="shared" ref="J131:J192" si="9">IF(COUNTIF(T$3:T$5, G131) &gt; 0, 0, 1)</f>
        <v>0</v>
      </c>
    </row>
    <row r="132" spans="1:11" x14ac:dyDescent="0.35">
      <c r="A132" s="3">
        <v>516</v>
      </c>
      <c r="B132" s="8" t="s">
        <v>26</v>
      </c>
      <c r="C132" s="9" t="s">
        <v>26</v>
      </c>
      <c r="D132" s="10" t="s">
        <v>26</v>
      </c>
      <c r="E132" s="3" t="s">
        <v>26</v>
      </c>
      <c r="F132" s="3">
        <v>0</v>
      </c>
      <c r="G132" s="3" t="s">
        <v>20</v>
      </c>
      <c r="H132" s="11">
        <f t="shared" si="7"/>
        <v>0</v>
      </c>
      <c r="I132" s="11">
        <f t="shared" si="8"/>
        <v>0</v>
      </c>
      <c r="J132" s="11">
        <f t="shared" si="9"/>
        <v>0</v>
      </c>
    </row>
    <row r="133" spans="1:11" x14ac:dyDescent="0.35">
      <c r="A133" s="3">
        <v>511</v>
      </c>
      <c r="B133" s="8" t="s">
        <v>26</v>
      </c>
      <c r="C133" s="9" t="s">
        <v>26</v>
      </c>
      <c r="D133" s="10" t="s">
        <v>26</v>
      </c>
      <c r="E133" s="3" t="s">
        <v>26</v>
      </c>
      <c r="F133" s="3">
        <v>0</v>
      </c>
      <c r="G133" s="3" t="s">
        <v>20</v>
      </c>
      <c r="H133" s="11">
        <f t="shared" si="7"/>
        <v>0</v>
      </c>
      <c r="I133" s="11">
        <f t="shared" si="8"/>
        <v>0</v>
      </c>
      <c r="J133" s="11">
        <f t="shared" si="9"/>
        <v>0</v>
      </c>
    </row>
    <row r="134" spans="1:11" x14ac:dyDescent="0.35">
      <c r="A134" s="3">
        <v>513</v>
      </c>
      <c r="B134" s="8" t="s">
        <v>26</v>
      </c>
      <c r="C134" s="9" t="s">
        <v>26</v>
      </c>
      <c r="D134" s="10" t="s">
        <v>26</v>
      </c>
      <c r="E134" s="3" t="s">
        <v>26</v>
      </c>
      <c r="F134" s="3">
        <v>0</v>
      </c>
      <c r="G134" s="3" t="s">
        <v>20</v>
      </c>
      <c r="H134" s="11">
        <f t="shared" si="7"/>
        <v>0</v>
      </c>
      <c r="I134" s="11">
        <f t="shared" si="8"/>
        <v>0</v>
      </c>
      <c r="J134" s="11">
        <f t="shared" si="9"/>
        <v>0</v>
      </c>
    </row>
    <row r="135" spans="1:11" x14ac:dyDescent="0.35">
      <c r="A135" s="3">
        <v>575</v>
      </c>
      <c r="B135" s="8" t="s">
        <v>26</v>
      </c>
      <c r="C135" s="9" t="s">
        <v>26</v>
      </c>
      <c r="D135" s="10" t="s">
        <v>26</v>
      </c>
      <c r="E135" s="3" t="s">
        <v>26</v>
      </c>
      <c r="F135" s="3">
        <v>0</v>
      </c>
      <c r="G135" s="3" t="s">
        <v>20</v>
      </c>
      <c r="H135" s="11">
        <f t="shared" si="7"/>
        <v>0</v>
      </c>
      <c r="I135" s="11">
        <f t="shared" si="8"/>
        <v>0</v>
      </c>
      <c r="J135" s="11">
        <f t="shared" si="9"/>
        <v>0</v>
      </c>
    </row>
    <row r="136" spans="1:11" x14ac:dyDescent="0.35">
      <c r="A136" s="3">
        <v>213</v>
      </c>
      <c r="B136" s="8" t="s">
        <v>26</v>
      </c>
      <c r="C136" s="9" t="s">
        <v>26</v>
      </c>
      <c r="D136" s="10" t="s">
        <v>26</v>
      </c>
      <c r="E136" s="3" t="s">
        <v>26</v>
      </c>
      <c r="F136" s="3">
        <v>0</v>
      </c>
      <c r="G136" s="3" t="s">
        <v>20</v>
      </c>
      <c r="H136" s="11">
        <f t="shared" si="7"/>
        <v>0</v>
      </c>
      <c r="I136" s="11">
        <f t="shared" si="8"/>
        <v>0</v>
      </c>
      <c r="J136" s="11">
        <f t="shared" si="9"/>
        <v>0</v>
      </c>
    </row>
    <row r="137" spans="1:11" x14ac:dyDescent="0.35">
      <c r="A137" s="3">
        <v>737</v>
      </c>
      <c r="B137" s="8" t="s">
        <v>26</v>
      </c>
      <c r="C137" s="9" t="s">
        <v>26</v>
      </c>
      <c r="D137" s="10" t="s">
        <v>26</v>
      </c>
      <c r="E137" s="3" t="s">
        <v>26</v>
      </c>
      <c r="F137" s="3">
        <v>0</v>
      </c>
      <c r="G137" s="3" t="s">
        <v>20</v>
      </c>
      <c r="H137" s="11">
        <f t="shared" si="7"/>
        <v>0</v>
      </c>
      <c r="I137" s="11">
        <f t="shared" si="8"/>
        <v>0</v>
      </c>
      <c r="J137" s="11">
        <f t="shared" si="9"/>
        <v>0</v>
      </c>
    </row>
    <row r="138" spans="1:11" x14ac:dyDescent="0.35">
      <c r="A138" s="3">
        <v>235</v>
      </c>
      <c r="B138" s="8" t="s">
        <v>27</v>
      </c>
      <c r="C138" s="9" t="s">
        <v>27</v>
      </c>
      <c r="D138" s="10" t="s">
        <v>26</v>
      </c>
      <c r="E138" s="3" t="s">
        <v>30</v>
      </c>
      <c r="F138" s="3">
        <v>50</v>
      </c>
      <c r="G138" s="3" t="s">
        <v>24</v>
      </c>
      <c r="H138" s="11">
        <f t="shared" si="7"/>
        <v>43.75</v>
      </c>
      <c r="I138" s="11">
        <f t="shared" si="8"/>
        <v>1</v>
      </c>
      <c r="J138" s="11">
        <f t="shared" si="9"/>
        <v>1</v>
      </c>
      <c r="K138" s="3" t="s">
        <v>44</v>
      </c>
    </row>
    <row r="139" spans="1:11" x14ac:dyDescent="0.35">
      <c r="A139" s="3">
        <v>68</v>
      </c>
      <c r="B139" s="8" t="s">
        <v>26</v>
      </c>
      <c r="C139" s="9" t="s">
        <v>27</v>
      </c>
      <c r="D139" s="10" t="s">
        <v>26</v>
      </c>
      <c r="E139" s="3" t="s">
        <v>26</v>
      </c>
      <c r="F139" s="3">
        <v>5</v>
      </c>
      <c r="G139" s="3" t="s">
        <v>21</v>
      </c>
      <c r="H139" s="11">
        <f t="shared" si="7"/>
        <v>1.25</v>
      </c>
      <c r="I139" s="11">
        <f t="shared" si="8"/>
        <v>0</v>
      </c>
      <c r="J139" s="11">
        <f t="shared" si="9"/>
        <v>0</v>
      </c>
    </row>
    <row r="140" spans="1:11" x14ac:dyDescent="0.35">
      <c r="A140" s="3">
        <v>381</v>
      </c>
      <c r="B140" s="8" t="s">
        <v>26</v>
      </c>
      <c r="C140" s="9" t="s">
        <v>27</v>
      </c>
      <c r="D140" s="10" t="s">
        <v>27</v>
      </c>
      <c r="E140" s="3" t="s">
        <v>28</v>
      </c>
      <c r="F140" s="3">
        <v>20</v>
      </c>
      <c r="G140" s="3" t="s">
        <v>24</v>
      </c>
      <c r="H140" s="11">
        <f t="shared" si="7"/>
        <v>17.5</v>
      </c>
      <c r="I140" s="11">
        <f t="shared" si="8"/>
        <v>1</v>
      </c>
      <c r="J140" s="11">
        <f t="shared" si="9"/>
        <v>1</v>
      </c>
    </row>
    <row r="141" spans="1:11" x14ac:dyDescent="0.35">
      <c r="A141" s="3">
        <v>216</v>
      </c>
      <c r="B141" s="8" t="s">
        <v>26</v>
      </c>
      <c r="C141" s="9" t="s">
        <v>26</v>
      </c>
      <c r="D141" s="10" t="s">
        <v>26</v>
      </c>
      <c r="E141" s="3" t="s">
        <v>26</v>
      </c>
      <c r="F141" s="3">
        <v>0</v>
      </c>
      <c r="G141" s="3" t="s">
        <v>20</v>
      </c>
      <c r="H141" s="11">
        <f t="shared" si="7"/>
        <v>0</v>
      </c>
      <c r="I141" s="11">
        <f t="shared" si="8"/>
        <v>0</v>
      </c>
      <c r="J141" s="11">
        <f t="shared" si="9"/>
        <v>0</v>
      </c>
    </row>
    <row r="142" spans="1:11" x14ac:dyDescent="0.35">
      <c r="A142" s="3">
        <v>518</v>
      </c>
      <c r="B142" s="8" t="s">
        <v>26</v>
      </c>
      <c r="C142" s="9" t="s">
        <v>26</v>
      </c>
      <c r="D142" s="10" t="s">
        <v>26</v>
      </c>
      <c r="E142" s="3" t="s">
        <v>26</v>
      </c>
      <c r="F142" s="3">
        <v>0</v>
      </c>
      <c r="G142" s="3" t="s">
        <v>20</v>
      </c>
      <c r="H142" s="11">
        <f t="shared" si="7"/>
        <v>0</v>
      </c>
      <c r="I142" s="11">
        <f t="shared" si="8"/>
        <v>0</v>
      </c>
      <c r="J142" s="11">
        <f t="shared" si="9"/>
        <v>0</v>
      </c>
    </row>
    <row r="143" spans="1:11" x14ac:dyDescent="0.35">
      <c r="A143" s="3">
        <v>455</v>
      </c>
      <c r="B143" s="8" t="s">
        <v>26</v>
      </c>
      <c r="C143" s="9" t="s">
        <v>27</v>
      </c>
      <c r="D143" s="10" t="s">
        <v>26</v>
      </c>
      <c r="E143" s="3" t="s">
        <v>26</v>
      </c>
      <c r="F143" s="3">
        <v>5</v>
      </c>
      <c r="G143" s="3" t="s">
        <v>21</v>
      </c>
      <c r="H143" s="11">
        <f t="shared" si="7"/>
        <v>1.25</v>
      </c>
      <c r="I143" s="11">
        <f t="shared" si="8"/>
        <v>0</v>
      </c>
      <c r="J143" s="11">
        <f t="shared" si="9"/>
        <v>0</v>
      </c>
    </row>
    <row r="144" spans="1:11" x14ac:dyDescent="0.35">
      <c r="A144" s="3">
        <v>64</v>
      </c>
      <c r="B144" s="8" t="s">
        <v>26</v>
      </c>
      <c r="C144" s="9" t="s">
        <v>27</v>
      </c>
      <c r="D144" s="10" t="s">
        <v>26</v>
      </c>
      <c r="E144" s="3" t="s">
        <v>26</v>
      </c>
      <c r="F144" s="3">
        <v>5</v>
      </c>
      <c r="G144" s="3" t="s">
        <v>21</v>
      </c>
      <c r="H144" s="11">
        <f t="shared" si="7"/>
        <v>1.25</v>
      </c>
      <c r="I144" s="11">
        <f t="shared" si="8"/>
        <v>0</v>
      </c>
      <c r="J144" s="11">
        <f t="shared" si="9"/>
        <v>0</v>
      </c>
    </row>
    <row r="145" spans="1:10" x14ac:dyDescent="0.35">
      <c r="A145" s="3">
        <v>454</v>
      </c>
      <c r="B145" s="8" t="s">
        <v>27</v>
      </c>
      <c r="C145" s="9" t="s">
        <v>27</v>
      </c>
      <c r="D145" s="10" t="s">
        <v>27</v>
      </c>
      <c r="E145" s="3" t="s">
        <v>30</v>
      </c>
      <c r="F145" s="3">
        <v>10</v>
      </c>
      <c r="G145" s="3" t="s">
        <v>23</v>
      </c>
      <c r="H145" s="11">
        <f t="shared" si="7"/>
        <v>7.5</v>
      </c>
      <c r="I145" s="11">
        <f t="shared" si="8"/>
        <v>0</v>
      </c>
      <c r="J145" s="11">
        <f t="shared" si="9"/>
        <v>1</v>
      </c>
    </row>
    <row r="146" spans="1:10" x14ac:dyDescent="0.35">
      <c r="A146" s="3">
        <v>328</v>
      </c>
      <c r="B146" s="8" t="s">
        <v>26</v>
      </c>
      <c r="C146" s="9" t="s">
        <v>26</v>
      </c>
      <c r="D146" s="10" t="s">
        <v>27</v>
      </c>
      <c r="E146" s="3" t="s">
        <v>29</v>
      </c>
      <c r="F146" s="3">
        <v>10</v>
      </c>
      <c r="G146" s="3" t="s">
        <v>22</v>
      </c>
      <c r="H146" s="11">
        <f t="shared" si="7"/>
        <v>5</v>
      </c>
      <c r="I146" s="11">
        <f t="shared" si="8"/>
        <v>0</v>
      </c>
      <c r="J146" s="11">
        <f t="shared" si="9"/>
        <v>0</v>
      </c>
    </row>
    <row r="147" spans="1:10" x14ac:dyDescent="0.35">
      <c r="A147" s="3">
        <v>480</v>
      </c>
      <c r="B147" s="8" t="s">
        <v>27</v>
      </c>
      <c r="C147" s="9" t="s">
        <v>27</v>
      </c>
      <c r="D147" s="10" t="s">
        <v>27</v>
      </c>
      <c r="E147" s="3" t="s">
        <v>29</v>
      </c>
      <c r="F147" s="3">
        <v>75</v>
      </c>
      <c r="G147" s="3" t="s">
        <v>22</v>
      </c>
      <c r="H147" s="11">
        <f t="shared" si="7"/>
        <v>37.5</v>
      </c>
      <c r="I147" s="11">
        <f t="shared" si="8"/>
        <v>0</v>
      </c>
      <c r="J147" s="11">
        <f t="shared" si="9"/>
        <v>0</v>
      </c>
    </row>
    <row r="148" spans="1:10" x14ac:dyDescent="0.35">
      <c r="A148" s="3">
        <v>417</v>
      </c>
      <c r="B148" s="8" t="s">
        <v>27</v>
      </c>
      <c r="C148" s="9" t="s">
        <v>27</v>
      </c>
      <c r="D148" s="10" t="s">
        <v>27</v>
      </c>
      <c r="E148" s="3" t="s">
        <v>28</v>
      </c>
      <c r="F148" s="3">
        <v>20</v>
      </c>
      <c r="G148" s="3" t="s">
        <v>24</v>
      </c>
      <c r="H148" s="11">
        <f t="shared" si="7"/>
        <v>17.5</v>
      </c>
      <c r="I148" s="11">
        <f t="shared" si="8"/>
        <v>1</v>
      </c>
      <c r="J148" s="11">
        <f t="shared" si="9"/>
        <v>1</v>
      </c>
    </row>
    <row r="149" spans="1:10" x14ac:dyDescent="0.35">
      <c r="A149" s="3">
        <v>743</v>
      </c>
      <c r="B149" s="8" t="s">
        <v>27</v>
      </c>
      <c r="C149" s="9" t="s">
        <v>26</v>
      </c>
      <c r="D149" s="10" t="s">
        <v>26</v>
      </c>
      <c r="E149" s="3" t="s">
        <v>26</v>
      </c>
      <c r="F149" s="3">
        <v>5</v>
      </c>
      <c r="G149" s="3" t="s">
        <v>21</v>
      </c>
      <c r="H149" s="11">
        <f t="shared" si="7"/>
        <v>1.25</v>
      </c>
      <c r="I149" s="11">
        <f t="shared" si="8"/>
        <v>0</v>
      </c>
      <c r="J149" s="11">
        <f t="shared" si="9"/>
        <v>0</v>
      </c>
    </row>
    <row r="150" spans="1:10" x14ac:dyDescent="0.35">
      <c r="A150" s="3">
        <v>198</v>
      </c>
      <c r="B150" s="8" t="s">
        <v>26</v>
      </c>
      <c r="C150" s="9" t="s">
        <v>27</v>
      </c>
      <c r="D150" s="10" t="s">
        <v>26</v>
      </c>
      <c r="E150" s="3" t="s">
        <v>29</v>
      </c>
      <c r="F150" s="3">
        <v>10</v>
      </c>
      <c r="G150" s="3" t="s">
        <v>22</v>
      </c>
      <c r="H150" s="11">
        <f t="shared" si="7"/>
        <v>5</v>
      </c>
      <c r="I150" s="11">
        <f t="shared" si="8"/>
        <v>0</v>
      </c>
      <c r="J150" s="11">
        <f t="shared" si="9"/>
        <v>0</v>
      </c>
    </row>
    <row r="151" spans="1:10" x14ac:dyDescent="0.35">
      <c r="A151" s="3">
        <v>681</v>
      </c>
      <c r="B151" s="8" t="s">
        <v>26</v>
      </c>
      <c r="C151" s="9" t="s">
        <v>26</v>
      </c>
      <c r="D151" s="10" t="s">
        <v>26</v>
      </c>
      <c r="E151" s="3" t="s">
        <v>26</v>
      </c>
      <c r="F151" s="3">
        <v>0</v>
      </c>
      <c r="G151" s="3" t="s">
        <v>20</v>
      </c>
      <c r="H151" s="11">
        <f t="shared" si="7"/>
        <v>0</v>
      </c>
      <c r="I151" s="11">
        <f t="shared" si="8"/>
        <v>0</v>
      </c>
      <c r="J151" s="11">
        <f t="shared" si="9"/>
        <v>0</v>
      </c>
    </row>
    <row r="152" spans="1:10" x14ac:dyDescent="0.35">
      <c r="A152" s="3">
        <v>325</v>
      </c>
      <c r="B152" s="8" t="s">
        <v>26</v>
      </c>
      <c r="C152" s="9" t="s">
        <v>26</v>
      </c>
      <c r="D152" s="10" t="s">
        <v>26</v>
      </c>
      <c r="E152" s="3" t="s">
        <v>26</v>
      </c>
      <c r="F152" s="3">
        <v>0</v>
      </c>
      <c r="G152" s="3" t="s">
        <v>20</v>
      </c>
      <c r="H152" s="11">
        <f t="shared" si="7"/>
        <v>0</v>
      </c>
      <c r="I152" s="11">
        <f t="shared" si="8"/>
        <v>0</v>
      </c>
      <c r="J152" s="11">
        <f t="shared" si="9"/>
        <v>0</v>
      </c>
    </row>
    <row r="153" spans="1:10" x14ac:dyDescent="0.35">
      <c r="A153" s="3">
        <v>739</v>
      </c>
      <c r="B153" s="8" t="s">
        <v>26</v>
      </c>
      <c r="C153" s="9" t="s">
        <v>26</v>
      </c>
      <c r="D153" s="10" t="s">
        <v>26</v>
      </c>
      <c r="E153" s="3" t="s">
        <v>26</v>
      </c>
      <c r="F153" s="3">
        <v>0</v>
      </c>
      <c r="G153" s="3" t="s">
        <v>20</v>
      </c>
      <c r="H153" s="11">
        <f t="shared" si="7"/>
        <v>0</v>
      </c>
      <c r="I153" s="11">
        <f t="shared" si="8"/>
        <v>0</v>
      </c>
      <c r="J153" s="11">
        <f t="shared" si="9"/>
        <v>0</v>
      </c>
    </row>
    <row r="154" spans="1:10" x14ac:dyDescent="0.35">
      <c r="A154" s="3">
        <v>479</v>
      </c>
      <c r="B154" s="8" t="s">
        <v>26</v>
      </c>
      <c r="C154" s="9" t="s">
        <v>26</v>
      </c>
      <c r="D154" s="10" t="s">
        <v>26</v>
      </c>
      <c r="E154" s="3" t="s">
        <v>26</v>
      </c>
      <c r="F154" s="3">
        <v>0</v>
      </c>
      <c r="G154" s="3" t="s">
        <v>20</v>
      </c>
      <c r="H154" s="11">
        <f t="shared" si="7"/>
        <v>0</v>
      </c>
      <c r="I154" s="11">
        <f t="shared" si="8"/>
        <v>0</v>
      </c>
      <c r="J154" s="11">
        <f t="shared" si="9"/>
        <v>0</v>
      </c>
    </row>
    <row r="155" spans="1:10" x14ac:dyDescent="0.35">
      <c r="A155" s="3">
        <v>498</v>
      </c>
      <c r="B155" s="8" t="s">
        <v>26</v>
      </c>
      <c r="C155" s="9" t="s">
        <v>27</v>
      </c>
      <c r="D155" s="10" t="s">
        <v>27</v>
      </c>
      <c r="E155" s="3" t="s">
        <v>29</v>
      </c>
      <c r="F155" s="3">
        <v>20</v>
      </c>
      <c r="G155" s="3" t="s">
        <v>22</v>
      </c>
      <c r="H155" s="11">
        <f t="shared" si="7"/>
        <v>10</v>
      </c>
      <c r="I155" s="11">
        <f t="shared" si="8"/>
        <v>0</v>
      </c>
      <c r="J155" s="11">
        <f t="shared" si="9"/>
        <v>0</v>
      </c>
    </row>
    <row r="156" spans="1:10" x14ac:dyDescent="0.35">
      <c r="A156" s="3">
        <v>378</v>
      </c>
      <c r="B156" s="8" t="s">
        <v>26</v>
      </c>
      <c r="C156" s="9" t="s">
        <v>26</v>
      </c>
      <c r="D156" s="10" t="s">
        <v>26</v>
      </c>
      <c r="E156" s="3" t="s">
        <v>26</v>
      </c>
      <c r="F156" s="3">
        <v>0</v>
      </c>
      <c r="G156" s="3" t="s">
        <v>20</v>
      </c>
      <c r="H156" s="11">
        <f t="shared" si="7"/>
        <v>0</v>
      </c>
      <c r="I156" s="11">
        <f t="shared" si="8"/>
        <v>0</v>
      </c>
      <c r="J156" s="11">
        <f t="shared" si="9"/>
        <v>0</v>
      </c>
    </row>
    <row r="157" spans="1:10" x14ac:dyDescent="0.35">
      <c r="A157" s="3">
        <v>29</v>
      </c>
      <c r="B157" s="8" t="s">
        <v>26</v>
      </c>
      <c r="C157" s="9" t="s">
        <v>26</v>
      </c>
      <c r="D157" s="10" t="s">
        <v>26</v>
      </c>
      <c r="E157" s="3" t="s">
        <v>26</v>
      </c>
      <c r="F157" s="3">
        <v>0</v>
      </c>
      <c r="G157" s="3" t="s">
        <v>20</v>
      </c>
      <c r="H157" s="11">
        <f t="shared" si="7"/>
        <v>0</v>
      </c>
      <c r="I157" s="11">
        <f t="shared" si="8"/>
        <v>0</v>
      </c>
      <c r="J157" s="11">
        <f t="shared" si="9"/>
        <v>0</v>
      </c>
    </row>
    <row r="158" spans="1:10" x14ac:dyDescent="0.35">
      <c r="A158" s="3">
        <v>555</v>
      </c>
      <c r="B158" s="8" t="s">
        <v>26</v>
      </c>
      <c r="C158" s="9" t="s">
        <v>26</v>
      </c>
      <c r="D158" s="10" t="s">
        <v>26</v>
      </c>
      <c r="E158" s="3" t="s">
        <v>26</v>
      </c>
      <c r="F158" s="3">
        <v>0</v>
      </c>
      <c r="G158" s="3" t="s">
        <v>20</v>
      </c>
      <c r="H158" s="11">
        <f t="shared" si="7"/>
        <v>0</v>
      </c>
      <c r="I158" s="11">
        <f t="shared" si="8"/>
        <v>0</v>
      </c>
      <c r="J158" s="11">
        <f t="shared" si="9"/>
        <v>0</v>
      </c>
    </row>
    <row r="159" spans="1:10" x14ac:dyDescent="0.35">
      <c r="A159" s="3">
        <v>327</v>
      </c>
      <c r="B159" s="8" t="s">
        <v>26</v>
      </c>
      <c r="C159" s="9" t="s">
        <v>26</v>
      </c>
      <c r="D159" s="10" t="s">
        <v>26</v>
      </c>
      <c r="E159" s="3" t="s">
        <v>26</v>
      </c>
      <c r="F159" s="3">
        <v>0</v>
      </c>
      <c r="G159" s="3" t="s">
        <v>20</v>
      </c>
      <c r="H159" s="11">
        <f t="shared" si="7"/>
        <v>0</v>
      </c>
      <c r="I159" s="11">
        <f t="shared" si="8"/>
        <v>0</v>
      </c>
      <c r="J159" s="11">
        <f t="shared" si="9"/>
        <v>0</v>
      </c>
    </row>
    <row r="160" spans="1:10" x14ac:dyDescent="0.35">
      <c r="A160" s="3">
        <v>443</v>
      </c>
      <c r="B160" s="8" t="s">
        <v>26</v>
      </c>
      <c r="C160" s="9" t="s">
        <v>27</v>
      </c>
      <c r="D160" s="10" t="s">
        <v>26</v>
      </c>
      <c r="E160" s="3" t="s">
        <v>29</v>
      </c>
      <c r="F160" s="3">
        <v>10</v>
      </c>
      <c r="G160" s="3" t="s">
        <v>22</v>
      </c>
      <c r="H160" s="11">
        <f t="shared" si="7"/>
        <v>5</v>
      </c>
      <c r="I160" s="11">
        <f t="shared" si="8"/>
        <v>0</v>
      </c>
      <c r="J160" s="11">
        <f t="shared" si="9"/>
        <v>0</v>
      </c>
    </row>
    <row r="161" spans="1:11" x14ac:dyDescent="0.35">
      <c r="A161" s="3">
        <v>716</v>
      </c>
      <c r="B161" s="8" t="s">
        <v>26</v>
      </c>
      <c r="C161" s="9" t="s">
        <v>26</v>
      </c>
      <c r="D161" s="10" t="s">
        <v>26</v>
      </c>
      <c r="E161" s="3" t="s">
        <v>26</v>
      </c>
      <c r="F161" s="3">
        <v>0</v>
      </c>
      <c r="G161" s="3" t="s">
        <v>20</v>
      </c>
      <c r="H161" s="11">
        <f t="shared" si="7"/>
        <v>0</v>
      </c>
      <c r="I161" s="11">
        <f t="shared" si="8"/>
        <v>0</v>
      </c>
      <c r="J161" s="11">
        <f t="shared" si="9"/>
        <v>0</v>
      </c>
    </row>
    <row r="162" spans="1:11" x14ac:dyDescent="0.35">
      <c r="A162" s="3">
        <v>370</v>
      </c>
      <c r="B162" s="8" t="s">
        <v>26</v>
      </c>
      <c r="C162" s="9" t="s">
        <v>26</v>
      </c>
      <c r="D162" s="10" t="s">
        <v>26</v>
      </c>
      <c r="E162" s="3" t="s">
        <v>26</v>
      </c>
      <c r="F162" s="3">
        <v>0</v>
      </c>
      <c r="G162" s="3" t="s">
        <v>20</v>
      </c>
      <c r="H162" s="11">
        <f t="shared" si="7"/>
        <v>0</v>
      </c>
      <c r="I162" s="11">
        <f t="shared" si="8"/>
        <v>0</v>
      </c>
      <c r="J162" s="11">
        <f t="shared" si="9"/>
        <v>0</v>
      </c>
    </row>
    <row r="163" spans="1:11" x14ac:dyDescent="0.35">
      <c r="A163" s="3">
        <v>494</v>
      </c>
      <c r="B163" s="8" t="s">
        <v>27</v>
      </c>
      <c r="C163" s="9" t="s">
        <v>26</v>
      </c>
      <c r="D163" s="10" t="s">
        <v>26</v>
      </c>
      <c r="E163" s="3" t="s">
        <v>26</v>
      </c>
      <c r="F163" s="3">
        <v>5</v>
      </c>
      <c r="G163" s="3" t="s">
        <v>21</v>
      </c>
      <c r="H163" s="11">
        <f t="shared" si="7"/>
        <v>1.25</v>
      </c>
      <c r="I163" s="11">
        <f t="shared" si="8"/>
        <v>0</v>
      </c>
      <c r="J163" s="11">
        <f t="shared" si="9"/>
        <v>0</v>
      </c>
    </row>
    <row r="164" spans="1:11" x14ac:dyDescent="0.35">
      <c r="A164" s="3">
        <v>703</v>
      </c>
      <c r="B164" s="8" t="s">
        <v>26</v>
      </c>
      <c r="C164" s="9" t="s">
        <v>26</v>
      </c>
      <c r="D164" s="10" t="s">
        <v>26</v>
      </c>
      <c r="E164" s="3" t="s">
        <v>26</v>
      </c>
      <c r="F164" s="3">
        <v>0</v>
      </c>
      <c r="G164" s="3" t="s">
        <v>20</v>
      </c>
      <c r="H164" s="11">
        <f t="shared" si="7"/>
        <v>0</v>
      </c>
      <c r="I164" s="11">
        <f t="shared" si="8"/>
        <v>0</v>
      </c>
      <c r="J164" s="11">
        <f t="shared" si="9"/>
        <v>0</v>
      </c>
    </row>
    <row r="165" spans="1:11" x14ac:dyDescent="0.35">
      <c r="A165" s="3">
        <v>25</v>
      </c>
      <c r="B165" s="8" t="s">
        <v>26</v>
      </c>
      <c r="C165" s="9" t="s">
        <v>27</v>
      </c>
      <c r="D165" s="10" t="s">
        <v>27</v>
      </c>
      <c r="E165" s="3" t="s">
        <v>26</v>
      </c>
      <c r="F165" s="3">
        <v>10</v>
      </c>
      <c r="G165" s="3" t="s">
        <v>21</v>
      </c>
      <c r="H165" s="11">
        <f t="shared" si="7"/>
        <v>2.5</v>
      </c>
      <c r="I165" s="11">
        <f t="shared" si="8"/>
        <v>0</v>
      </c>
      <c r="J165" s="11">
        <f t="shared" si="9"/>
        <v>0</v>
      </c>
    </row>
    <row r="166" spans="1:11" x14ac:dyDescent="0.35">
      <c r="A166" s="3">
        <v>151</v>
      </c>
      <c r="B166" s="8" t="s">
        <v>26</v>
      </c>
      <c r="C166" s="9" t="s">
        <v>27</v>
      </c>
      <c r="D166" s="10" t="s">
        <v>27</v>
      </c>
      <c r="E166" s="3" t="s">
        <v>28</v>
      </c>
      <c r="F166" s="3">
        <v>15</v>
      </c>
      <c r="G166" s="3" t="s">
        <v>23</v>
      </c>
      <c r="H166" s="11">
        <f t="shared" si="7"/>
        <v>11.25</v>
      </c>
      <c r="I166" s="11">
        <f t="shared" si="8"/>
        <v>0</v>
      </c>
      <c r="J166" s="11">
        <f t="shared" si="9"/>
        <v>1</v>
      </c>
    </row>
    <row r="167" spans="1:11" x14ac:dyDescent="0.35">
      <c r="A167" s="3">
        <v>139</v>
      </c>
      <c r="B167" s="8" t="s">
        <v>26</v>
      </c>
      <c r="C167" s="9" t="s">
        <v>27</v>
      </c>
      <c r="D167" s="10" t="s">
        <v>26</v>
      </c>
      <c r="E167" s="3" t="s">
        <v>26</v>
      </c>
      <c r="F167" s="3">
        <v>5</v>
      </c>
      <c r="G167" s="3" t="s">
        <v>21</v>
      </c>
      <c r="H167" s="11">
        <f t="shared" si="7"/>
        <v>1.25</v>
      </c>
      <c r="I167" s="11">
        <f t="shared" si="8"/>
        <v>0</v>
      </c>
      <c r="J167" s="11">
        <f t="shared" si="9"/>
        <v>0</v>
      </c>
    </row>
    <row r="168" spans="1:11" x14ac:dyDescent="0.35">
      <c r="A168" s="3">
        <v>384</v>
      </c>
      <c r="B168" s="8" t="s">
        <v>26</v>
      </c>
      <c r="C168" s="9" t="s">
        <v>26</v>
      </c>
      <c r="D168" s="10" t="s">
        <v>26</v>
      </c>
      <c r="E168" s="3" t="s">
        <v>26</v>
      </c>
      <c r="F168" s="3">
        <v>0</v>
      </c>
      <c r="G168" s="3" t="s">
        <v>20</v>
      </c>
      <c r="H168" s="11">
        <f t="shared" si="7"/>
        <v>0</v>
      </c>
      <c r="I168" s="11">
        <f t="shared" si="8"/>
        <v>0</v>
      </c>
      <c r="J168" s="11">
        <f t="shared" si="9"/>
        <v>0</v>
      </c>
    </row>
    <row r="169" spans="1:11" x14ac:dyDescent="0.35">
      <c r="A169" s="3">
        <v>156</v>
      </c>
      <c r="B169" s="8" t="s">
        <v>26</v>
      </c>
      <c r="C169" s="9" t="s">
        <v>26</v>
      </c>
      <c r="D169" s="10" t="s">
        <v>26</v>
      </c>
      <c r="E169" s="3" t="s">
        <v>26</v>
      </c>
      <c r="F169" s="3">
        <v>0</v>
      </c>
      <c r="G169" s="3" t="s">
        <v>20</v>
      </c>
      <c r="H169" s="11">
        <f t="shared" si="7"/>
        <v>0</v>
      </c>
      <c r="I169" s="11">
        <f t="shared" si="8"/>
        <v>0</v>
      </c>
      <c r="J169" s="11">
        <f t="shared" si="9"/>
        <v>0</v>
      </c>
      <c r="K169" s="3" t="s">
        <v>37</v>
      </c>
    </row>
    <row r="170" spans="1:11" x14ac:dyDescent="0.35">
      <c r="A170" s="3">
        <v>193</v>
      </c>
      <c r="B170" s="8" t="s">
        <v>26</v>
      </c>
      <c r="C170" s="9" t="s">
        <v>27</v>
      </c>
      <c r="D170" s="10" t="s">
        <v>27</v>
      </c>
      <c r="E170" s="3" t="s">
        <v>28</v>
      </c>
      <c r="F170" s="3">
        <v>30</v>
      </c>
      <c r="G170" s="3" t="s">
        <v>24</v>
      </c>
      <c r="H170" s="11">
        <f t="shared" si="7"/>
        <v>26.25</v>
      </c>
      <c r="I170" s="11">
        <f t="shared" si="8"/>
        <v>1</v>
      </c>
      <c r="J170" s="11">
        <f t="shared" si="9"/>
        <v>1</v>
      </c>
      <c r="K170" s="3" t="s">
        <v>38</v>
      </c>
    </row>
    <row r="171" spans="1:11" x14ac:dyDescent="0.35">
      <c r="A171" s="3">
        <v>175</v>
      </c>
      <c r="B171" s="8" t="s">
        <v>27</v>
      </c>
      <c r="C171" s="9" t="s">
        <v>27</v>
      </c>
      <c r="D171" s="10" t="s">
        <v>27</v>
      </c>
      <c r="E171" s="3" t="s">
        <v>28</v>
      </c>
      <c r="F171" s="3">
        <v>20</v>
      </c>
      <c r="G171" s="3" t="s">
        <v>24</v>
      </c>
      <c r="H171" s="11">
        <f t="shared" si="7"/>
        <v>17.5</v>
      </c>
      <c r="I171" s="11">
        <f t="shared" si="8"/>
        <v>1</v>
      </c>
      <c r="J171" s="11">
        <f t="shared" si="9"/>
        <v>1</v>
      </c>
      <c r="K171" s="3" t="s">
        <v>38</v>
      </c>
    </row>
    <row r="172" spans="1:11" x14ac:dyDescent="0.35">
      <c r="A172" s="3">
        <v>343</v>
      </c>
      <c r="B172" s="8" t="s">
        <v>26</v>
      </c>
      <c r="C172" s="9" t="s">
        <v>26</v>
      </c>
      <c r="D172" s="10" t="s">
        <v>26</v>
      </c>
      <c r="E172" s="3" t="s">
        <v>26</v>
      </c>
      <c r="F172" s="3">
        <v>0</v>
      </c>
      <c r="G172" s="3" t="s">
        <v>20</v>
      </c>
      <c r="H172" s="11">
        <f t="shared" si="7"/>
        <v>0</v>
      </c>
      <c r="I172" s="11">
        <f t="shared" si="8"/>
        <v>0</v>
      </c>
      <c r="J172" s="11">
        <f t="shared" si="9"/>
        <v>0</v>
      </c>
    </row>
    <row r="173" spans="1:11" x14ac:dyDescent="0.35">
      <c r="A173" s="3">
        <v>84</v>
      </c>
      <c r="B173" s="8" t="s">
        <v>26</v>
      </c>
      <c r="C173" s="9" t="s">
        <v>26</v>
      </c>
      <c r="D173" s="10" t="s">
        <v>26</v>
      </c>
      <c r="E173" s="3" t="s">
        <v>26</v>
      </c>
      <c r="F173" s="3">
        <v>0</v>
      </c>
      <c r="G173" s="3" t="s">
        <v>20</v>
      </c>
      <c r="H173" s="11">
        <f t="shared" si="7"/>
        <v>0</v>
      </c>
      <c r="I173" s="11">
        <f t="shared" si="8"/>
        <v>0</v>
      </c>
      <c r="J173" s="11">
        <f t="shared" si="9"/>
        <v>0</v>
      </c>
    </row>
    <row r="174" spans="1:11" x14ac:dyDescent="0.35">
      <c r="A174" s="3">
        <v>80</v>
      </c>
      <c r="B174" s="8" t="s">
        <v>27</v>
      </c>
      <c r="C174" s="9" t="s">
        <v>26</v>
      </c>
      <c r="D174" s="10" t="s">
        <v>26</v>
      </c>
      <c r="E174" s="3" t="s">
        <v>26</v>
      </c>
      <c r="F174" s="3">
        <v>5</v>
      </c>
      <c r="G174" s="3" t="s">
        <v>21</v>
      </c>
      <c r="H174" s="11">
        <f t="shared" si="7"/>
        <v>1.25</v>
      </c>
      <c r="I174" s="11">
        <f t="shared" si="8"/>
        <v>0</v>
      </c>
      <c r="J174" s="11">
        <f t="shared" si="9"/>
        <v>0</v>
      </c>
    </row>
    <row r="175" spans="1:11" x14ac:dyDescent="0.35">
      <c r="A175" s="3">
        <v>527</v>
      </c>
      <c r="B175" s="8" t="s">
        <v>26</v>
      </c>
      <c r="C175" s="9" t="s">
        <v>26</v>
      </c>
      <c r="D175" s="10" t="s">
        <v>26</v>
      </c>
      <c r="E175" s="3" t="s">
        <v>26</v>
      </c>
      <c r="F175" s="3">
        <v>0</v>
      </c>
      <c r="G175" s="3" t="s">
        <v>20</v>
      </c>
      <c r="H175" s="11">
        <f t="shared" si="7"/>
        <v>0</v>
      </c>
      <c r="I175" s="11">
        <f t="shared" si="8"/>
        <v>0</v>
      </c>
      <c r="J175" s="11">
        <f t="shared" si="9"/>
        <v>0</v>
      </c>
    </row>
    <row r="176" spans="1:11" x14ac:dyDescent="0.35">
      <c r="A176" s="3">
        <v>572</v>
      </c>
      <c r="B176" s="8" t="s">
        <v>26</v>
      </c>
      <c r="C176" s="9" t="s">
        <v>26</v>
      </c>
      <c r="D176" s="10" t="s">
        <v>26</v>
      </c>
      <c r="E176" s="3" t="s">
        <v>26</v>
      </c>
      <c r="F176" s="3">
        <v>0</v>
      </c>
      <c r="G176" s="3" t="s">
        <v>20</v>
      </c>
      <c r="H176" s="11">
        <f t="shared" si="7"/>
        <v>0</v>
      </c>
      <c r="I176" s="11">
        <f t="shared" si="8"/>
        <v>0</v>
      </c>
      <c r="J176" s="11">
        <f t="shared" si="9"/>
        <v>0</v>
      </c>
    </row>
    <row r="177" spans="1:11" x14ac:dyDescent="0.35">
      <c r="A177" s="3">
        <v>702</v>
      </c>
      <c r="B177" s="8" t="s">
        <v>26</v>
      </c>
      <c r="C177" s="9" t="s">
        <v>26</v>
      </c>
      <c r="D177" s="10" t="s">
        <v>26</v>
      </c>
      <c r="E177" s="3" t="s">
        <v>26</v>
      </c>
      <c r="F177" s="3">
        <v>0</v>
      </c>
      <c r="G177" s="3" t="s">
        <v>20</v>
      </c>
      <c r="H177" s="11">
        <f t="shared" si="7"/>
        <v>0</v>
      </c>
      <c r="I177" s="11">
        <f t="shared" si="8"/>
        <v>0</v>
      </c>
      <c r="J177" s="11">
        <f t="shared" si="9"/>
        <v>0</v>
      </c>
    </row>
    <row r="178" spans="1:11" x14ac:dyDescent="0.35">
      <c r="A178" s="3">
        <v>530</v>
      </c>
      <c r="B178" s="8" t="s">
        <v>26</v>
      </c>
      <c r="C178" s="9" t="s">
        <v>26</v>
      </c>
      <c r="D178" s="10" t="s">
        <v>26</v>
      </c>
      <c r="E178" s="3" t="s">
        <v>26</v>
      </c>
      <c r="F178" s="3">
        <v>0</v>
      </c>
      <c r="G178" s="3" t="s">
        <v>20</v>
      </c>
      <c r="H178" s="11">
        <f t="shared" si="7"/>
        <v>0</v>
      </c>
      <c r="I178" s="11">
        <f t="shared" si="8"/>
        <v>0</v>
      </c>
      <c r="J178" s="11">
        <f t="shared" si="9"/>
        <v>0</v>
      </c>
    </row>
    <row r="179" spans="1:11" x14ac:dyDescent="0.35">
      <c r="A179" s="3">
        <v>179</v>
      </c>
      <c r="B179" s="8" t="s">
        <v>26</v>
      </c>
      <c r="C179" s="9" t="s">
        <v>27</v>
      </c>
      <c r="D179" s="10" t="s">
        <v>27</v>
      </c>
      <c r="E179" s="3" t="s">
        <v>30</v>
      </c>
      <c r="F179" s="3">
        <v>10</v>
      </c>
      <c r="G179" s="3" t="s">
        <v>24</v>
      </c>
      <c r="H179" s="11">
        <f t="shared" si="7"/>
        <v>8.75</v>
      </c>
      <c r="I179" s="11">
        <f t="shared" si="8"/>
        <v>1</v>
      </c>
      <c r="J179" s="11">
        <f t="shared" si="9"/>
        <v>1</v>
      </c>
      <c r="K179" s="3" t="s">
        <v>38</v>
      </c>
    </row>
    <row r="180" spans="1:11" x14ac:dyDescent="0.35">
      <c r="A180" s="3">
        <v>717</v>
      </c>
      <c r="B180" s="8" t="s">
        <v>26</v>
      </c>
      <c r="C180" s="9" t="s">
        <v>26</v>
      </c>
      <c r="D180" s="10" t="s">
        <v>26</v>
      </c>
      <c r="E180" s="3" t="s">
        <v>26</v>
      </c>
      <c r="F180" s="3">
        <v>0</v>
      </c>
      <c r="G180" s="3" t="s">
        <v>20</v>
      </c>
      <c r="H180" s="11">
        <f t="shared" si="7"/>
        <v>0</v>
      </c>
      <c r="I180" s="11">
        <f t="shared" si="8"/>
        <v>0</v>
      </c>
      <c r="J180" s="11">
        <f t="shared" si="9"/>
        <v>0</v>
      </c>
    </row>
    <row r="181" spans="1:11" x14ac:dyDescent="0.35">
      <c r="A181" s="3">
        <v>76</v>
      </c>
      <c r="B181" s="8" t="s">
        <v>27</v>
      </c>
      <c r="C181" s="9" t="s">
        <v>27</v>
      </c>
      <c r="D181" s="10" t="s">
        <v>27</v>
      </c>
      <c r="E181" s="3" t="s">
        <v>30</v>
      </c>
      <c r="F181" s="3">
        <v>30</v>
      </c>
      <c r="G181" s="3" t="s">
        <v>23</v>
      </c>
      <c r="H181" s="11">
        <f t="shared" si="7"/>
        <v>22.5</v>
      </c>
      <c r="I181" s="11">
        <f t="shared" si="8"/>
        <v>0</v>
      </c>
      <c r="J181" s="11">
        <f t="shared" si="9"/>
        <v>1</v>
      </c>
    </row>
    <row r="182" spans="1:11" x14ac:dyDescent="0.35">
      <c r="A182" s="3">
        <v>4</v>
      </c>
      <c r="B182" s="8" t="s">
        <v>26</v>
      </c>
      <c r="C182" s="9" t="s">
        <v>26</v>
      </c>
      <c r="D182" s="10" t="s">
        <v>26</v>
      </c>
      <c r="E182" s="3" t="s">
        <v>26</v>
      </c>
      <c r="F182" s="3">
        <v>0</v>
      </c>
      <c r="G182" s="3" t="s">
        <v>20</v>
      </c>
      <c r="H182" s="11">
        <f t="shared" si="7"/>
        <v>0</v>
      </c>
      <c r="I182" s="11">
        <f t="shared" si="8"/>
        <v>0</v>
      </c>
      <c r="J182" s="11">
        <f t="shared" si="9"/>
        <v>0</v>
      </c>
    </row>
    <row r="183" spans="1:11" x14ac:dyDescent="0.35">
      <c r="A183" s="3">
        <v>421</v>
      </c>
      <c r="B183" s="8" t="s">
        <v>26</v>
      </c>
      <c r="C183" s="9" t="s">
        <v>26</v>
      </c>
      <c r="D183" s="10" t="s">
        <v>26</v>
      </c>
      <c r="E183" s="3" t="s">
        <v>26</v>
      </c>
      <c r="F183" s="3">
        <v>0</v>
      </c>
      <c r="G183" s="3" t="s">
        <v>20</v>
      </c>
      <c r="H183" s="11">
        <f t="shared" si="7"/>
        <v>0</v>
      </c>
      <c r="I183" s="11">
        <f t="shared" si="8"/>
        <v>0</v>
      </c>
      <c r="J183" s="11">
        <f t="shared" si="9"/>
        <v>0</v>
      </c>
    </row>
    <row r="184" spans="1:11" x14ac:dyDescent="0.35">
      <c r="A184" s="3">
        <v>451</v>
      </c>
      <c r="B184" s="8" t="s">
        <v>26</v>
      </c>
      <c r="C184" s="9" t="s">
        <v>27</v>
      </c>
      <c r="D184" s="10" t="s">
        <v>27</v>
      </c>
      <c r="E184" s="3" t="s">
        <v>29</v>
      </c>
      <c r="F184" s="3">
        <v>25</v>
      </c>
      <c r="G184" s="3" t="s">
        <v>22</v>
      </c>
      <c r="H184" s="11">
        <f t="shared" si="7"/>
        <v>12.5</v>
      </c>
      <c r="I184" s="11">
        <f t="shared" si="8"/>
        <v>0</v>
      </c>
      <c r="J184" s="11">
        <f t="shared" si="9"/>
        <v>0</v>
      </c>
    </row>
    <row r="185" spans="1:11" x14ac:dyDescent="0.35">
      <c r="A185" s="3">
        <v>97</v>
      </c>
      <c r="B185" s="8" t="s">
        <v>26</v>
      </c>
      <c r="C185" s="9" t="s">
        <v>27</v>
      </c>
      <c r="D185" s="10" t="s">
        <v>26</v>
      </c>
      <c r="E185" s="3" t="s">
        <v>26</v>
      </c>
      <c r="F185" s="3">
        <v>5</v>
      </c>
      <c r="G185" s="3" t="s">
        <v>21</v>
      </c>
      <c r="H185" s="11">
        <f t="shared" si="7"/>
        <v>1.25</v>
      </c>
      <c r="I185" s="11">
        <f t="shared" si="8"/>
        <v>0</v>
      </c>
      <c r="J185" s="11">
        <f t="shared" si="9"/>
        <v>0</v>
      </c>
    </row>
    <row r="186" spans="1:11" x14ac:dyDescent="0.35">
      <c r="A186" s="3">
        <v>473</v>
      </c>
      <c r="B186" s="8" t="s">
        <v>26</v>
      </c>
      <c r="C186" s="9" t="s">
        <v>27</v>
      </c>
      <c r="D186" s="10" t="s">
        <v>26</v>
      </c>
      <c r="E186" s="3" t="s">
        <v>26</v>
      </c>
      <c r="F186" s="3">
        <v>5</v>
      </c>
      <c r="G186" s="3" t="s">
        <v>21</v>
      </c>
      <c r="H186" s="11">
        <f t="shared" si="7"/>
        <v>1.25</v>
      </c>
      <c r="I186" s="11">
        <f t="shared" si="8"/>
        <v>0</v>
      </c>
      <c r="J186" s="11">
        <f t="shared" si="9"/>
        <v>0</v>
      </c>
    </row>
    <row r="187" spans="1:11" x14ac:dyDescent="0.35">
      <c r="A187" s="3">
        <v>123</v>
      </c>
      <c r="H187" s="11" t="e">
        <f t="shared" si="7"/>
        <v>#N/A</v>
      </c>
      <c r="I187" s="11"/>
      <c r="J187" s="11"/>
      <c r="K187" s="3" t="s">
        <v>45</v>
      </c>
    </row>
    <row r="188" spans="1:11" x14ac:dyDescent="0.35">
      <c r="A188" s="3">
        <v>229</v>
      </c>
      <c r="H188" s="11" t="e">
        <f t="shared" si="7"/>
        <v>#N/A</v>
      </c>
      <c r="I188" s="11"/>
      <c r="J188" s="11"/>
      <c r="K188" s="3" t="s">
        <v>45</v>
      </c>
    </row>
    <row r="189" spans="1:11" x14ac:dyDescent="0.35">
      <c r="A189" s="3">
        <v>551</v>
      </c>
      <c r="B189" s="8" t="s">
        <v>27</v>
      </c>
      <c r="C189" s="9" t="s">
        <v>26</v>
      </c>
      <c r="D189" s="10" t="s">
        <v>26</v>
      </c>
      <c r="E189" s="3" t="s">
        <v>26</v>
      </c>
      <c r="F189" s="3">
        <v>5</v>
      </c>
      <c r="G189" s="3" t="s">
        <v>21</v>
      </c>
      <c r="H189" s="11">
        <f t="shared" si="7"/>
        <v>1.25</v>
      </c>
      <c r="I189" s="11">
        <f t="shared" si="8"/>
        <v>0</v>
      </c>
      <c r="J189" s="11">
        <f t="shared" si="9"/>
        <v>0</v>
      </c>
    </row>
    <row r="190" spans="1:11" x14ac:dyDescent="0.35">
      <c r="A190" s="3">
        <v>607</v>
      </c>
      <c r="B190" s="8" t="s">
        <v>27</v>
      </c>
      <c r="C190" s="9" t="s">
        <v>26</v>
      </c>
      <c r="D190" s="10" t="s">
        <v>26</v>
      </c>
      <c r="E190" s="3" t="s">
        <v>26</v>
      </c>
      <c r="F190" s="3">
        <v>5</v>
      </c>
      <c r="G190" s="3" t="s">
        <v>21</v>
      </c>
      <c r="H190" s="11">
        <f t="shared" si="7"/>
        <v>1.25</v>
      </c>
      <c r="I190" s="11">
        <f t="shared" si="8"/>
        <v>0</v>
      </c>
      <c r="J190" s="11">
        <f t="shared" si="9"/>
        <v>0</v>
      </c>
    </row>
    <row r="191" spans="1:11" x14ac:dyDescent="0.35">
      <c r="A191" s="3">
        <v>3</v>
      </c>
      <c r="B191" s="8" t="s">
        <v>26</v>
      </c>
      <c r="C191" s="9" t="s">
        <v>27</v>
      </c>
      <c r="D191" s="10" t="s">
        <v>26</v>
      </c>
      <c r="E191" s="3" t="s">
        <v>26</v>
      </c>
      <c r="F191" s="3">
        <v>5</v>
      </c>
      <c r="G191" s="3" t="s">
        <v>21</v>
      </c>
      <c r="H191" s="11">
        <f t="shared" si="7"/>
        <v>1.25</v>
      </c>
      <c r="I191" s="11">
        <f t="shared" si="8"/>
        <v>0</v>
      </c>
      <c r="J191" s="11">
        <f t="shared" si="9"/>
        <v>0</v>
      </c>
    </row>
    <row r="192" spans="1:11" x14ac:dyDescent="0.35">
      <c r="A192" s="3">
        <v>200</v>
      </c>
      <c r="B192" s="8" t="s">
        <v>26</v>
      </c>
      <c r="C192" s="9" t="s">
        <v>27</v>
      </c>
      <c r="D192" s="10" t="s">
        <v>26</v>
      </c>
      <c r="E192" s="3" t="s">
        <v>28</v>
      </c>
      <c r="F192" s="3">
        <v>30</v>
      </c>
      <c r="G192" s="3" t="s">
        <v>25</v>
      </c>
      <c r="H192" s="11">
        <f t="shared" si="7"/>
        <v>30</v>
      </c>
      <c r="I192" s="11">
        <f t="shared" si="8"/>
        <v>1</v>
      </c>
      <c r="J192" s="11">
        <f t="shared" si="9"/>
        <v>1</v>
      </c>
      <c r="K192" s="3" t="s">
        <v>46</v>
      </c>
    </row>
    <row r="193" spans="1:10" x14ac:dyDescent="0.35">
      <c r="A193" s="3">
        <v>342</v>
      </c>
      <c r="B193" s="8" t="s">
        <v>26</v>
      </c>
      <c r="C193" s="9" t="s">
        <v>26</v>
      </c>
      <c r="D193" s="10" t="s">
        <v>26</v>
      </c>
      <c r="E193" s="3" t="s">
        <v>28</v>
      </c>
      <c r="F193" s="3">
        <v>40</v>
      </c>
      <c r="G193" s="3" t="s">
        <v>25</v>
      </c>
      <c r="H193" s="11">
        <f t="shared" si="7"/>
        <v>40</v>
      </c>
      <c r="I193" s="11">
        <f t="shared" ref="I193:I215" si="10">IF(COUNTIF($T$3:$T$6, G193) &gt; 0, 0, 1)</f>
        <v>1</v>
      </c>
      <c r="J193" s="11">
        <f t="shared" ref="J193:J215" si="11">IF(COUNTIF(T$3:T$5, G193) &gt; 0, 0, 1)</f>
        <v>1</v>
      </c>
    </row>
    <row r="194" spans="1:10" x14ac:dyDescent="0.35">
      <c r="A194" s="3">
        <v>697</v>
      </c>
      <c r="B194" s="8" t="s">
        <v>26</v>
      </c>
      <c r="C194" s="9" t="s">
        <v>26</v>
      </c>
      <c r="D194" s="10" t="s">
        <v>26</v>
      </c>
      <c r="E194" s="3" t="s">
        <v>26</v>
      </c>
      <c r="F194" s="3">
        <v>0</v>
      </c>
      <c r="G194" s="3" t="s">
        <v>20</v>
      </c>
      <c r="H194" s="11">
        <f t="shared" si="7"/>
        <v>0</v>
      </c>
      <c r="I194" s="11">
        <f t="shared" si="10"/>
        <v>0</v>
      </c>
      <c r="J194" s="11">
        <f t="shared" si="11"/>
        <v>0</v>
      </c>
    </row>
    <row r="195" spans="1:10" x14ac:dyDescent="0.35">
      <c r="A195" s="3">
        <v>574</v>
      </c>
      <c r="B195" s="8" t="s">
        <v>26</v>
      </c>
      <c r="C195" s="9" t="s">
        <v>26</v>
      </c>
      <c r="D195" s="10" t="s">
        <v>26</v>
      </c>
      <c r="E195" s="3" t="s">
        <v>26</v>
      </c>
      <c r="F195" s="3">
        <v>0</v>
      </c>
      <c r="G195" s="3" t="s">
        <v>20</v>
      </c>
      <c r="H195" s="11">
        <f t="shared" ref="H195:H258" si="12">INDEX(U:U, MATCH(G195, T:T, 0))*F195</f>
        <v>0</v>
      </c>
      <c r="I195" s="11">
        <f t="shared" si="10"/>
        <v>0</v>
      </c>
      <c r="J195" s="11">
        <f t="shared" si="11"/>
        <v>0</v>
      </c>
    </row>
    <row r="196" spans="1:10" x14ac:dyDescent="0.35">
      <c r="A196" s="3">
        <v>682</v>
      </c>
      <c r="B196" s="8" t="s">
        <v>26</v>
      </c>
      <c r="C196" s="9" t="s">
        <v>26</v>
      </c>
      <c r="D196" s="10" t="s">
        <v>26</v>
      </c>
      <c r="E196" s="3" t="s">
        <v>26</v>
      </c>
      <c r="F196" s="3">
        <v>0</v>
      </c>
      <c r="G196" s="3" t="s">
        <v>20</v>
      </c>
      <c r="H196" s="11">
        <f t="shared" si="12"/>
        <v>0</v>
      </c>
      <c r="I196" s="11">
        <f t="shared" si="10"/>
        <v>0</v>
      </c>
      <c r="J196" s="11">
        <f t="shared" si="11"/>
        <v>0</v>
      </c>
    </row>
    <row r="197" spans="1:10" x14ac:dyDescent="0.35">
      <c r="A197" s="3">
        <v>309</v>
      </c>
      <c r="B197" s="8" t="s">
        <v>26</v>
      </c>
      <c r="C197" s="9" t="s">
        <v>26</v>
      </c>
      <c r="D197" s="10" t="s">
        <v>26</v>
      </c>
      <c r="E197" s="3" t="s">
        <v>26</v>
      </c>
      <c r="F197" s="3">
        <v>0</v>
      </c>
      <c r="G197" s="3" t="s">
        <v>20</v>
      </c>
      <c r="H197" s="11">
        <f t="shared" si="12"/>
        <v>0</v>
      </c>
      <c r="I197" s="11">
        <f t="shared" si="10"/>
        <v>0</v>
      </c>
      <c r="J197" s="11">
        <f t="shared" si="11"/>
        <v>0</v>
      </c>
    </row>
    <row r="198" spans="1:10" x14ac:dyDescent="0.35">
      <c r="A198" s="3">
        <v>622</v>
      </c>
      <c r="B198" s="8" t="s">
        <v>27</v>
      </c>
      <c r="C198" s="9" t="s">
        <v>26</v>
      </c>
      <c r="D198" s="10" t="s">
        <v>26</v>
      </c>
      <c r="E198" s="3" t="s">
        <v>26</v>
      </c>
      <c r="F198" s="3">
        <v>5</v>
      </c>
      <c r="G198" s="3" t="s">
        <v>21</v>
      </c>
      <c r="H198" s="11">
        <f t="shared" si="12"/>
        <v>1.25</v>
      </c>
      <c r="I198" s="11">
        <f t="shared" si="10"/>
        <v>0</v>
      </c>
      <c r="J198" s="11">
        <f t="shared" si="11"/>
        <v>0</v>
      </c>
    </row>
    <row r="199" spans="1:10" x14ac:dyDescent="0.35">
      <c r="A199" s="3">
        <v>26</v>
      </c>
      <c r="B199" s="8" t="s">
        <v>27</v>
      </c>
      <c r="C199" s="9" t="s">
        <v>26</v>
      </c>
      <c r="D199" s="10" t="s">
        <v>26</v>
      </c>
      <c r="E199" s="3" t="s">
        <v>26</v>
      </c>
      <c r="F199" s="3">
        <v>5</v>
      </c>
      <c r="G199" s="3" t="s">
        <v>21</v>
      </c>
      <c r="H199" s="11">
        <f t="shared" si="12"/>
        <v>1.25</v>
      </c>
      <c r="I199" s="11">
        <f t="shared" si="10"/>
        <v>0</v>
      </c>
      <c r="J199" s="11">
        <f t="shared" si="11"/>
        <v>0</v>
      </c>
    </row>
    <row r="200" spans="1:10" x14ac:dyDescent="0.35">
      <c r="A200" s="3">
        <v>98</v>
      </c>
      <c r="B200" s="8" t="s">
        <v>26</v>
      </c>
      <c r="C200" s="9" t="s">
        <v>26</v>
      </c>
      <c r="D200" s="10" t="s">
        <v>26</v>
      </c>
      <c r="E200" s="3" t="s">
        <v>26</v>
      </c>
      <c r="F200" s="3">
        <v>0</v>
      </c>
      <c r="G200" s="3" t="s">
        <v>20</v>
      </c>
      <c r="H200" s="11">
        <f t="shared" si="12"/>
        <v>0</v>
      </c>
      <c r="I200" s="11">
        <f t="shared" si="10"/>
        <v>0</v>
      </c>
      <c r="J200" s="11">
        <f t="shared" si="11"/>
        <v>0</v>
      </c>
    </row>
    <row r="201" spans="1:10" x14ac:dyDescent="0.35">
      <c r="A201" s="3">
        <v>324</v>
      </c>
      <c r="B201" s="8" t="s">
        <v>26</v>
      </c>
      <c r="C201" s="9" t="s">
        <v>27</v>
      </c>
      <c r="D201" s="10" t="s">
        <v>27</v>
      </c>
      <c r="E201" s="3" t="s">
        <v>29</v>
      </c>
      <c r="F201" s="3">
        <v>10</v>
      </c>
      <c r="G201" s="3" t="s">
        <v>22</v>
      </c>
      <c r="H201" s="11">
        <f t="shared" si="12"/>
        <v>5</v>
      </c>
      <c r="I201" s="11">
        <f t="shared" si="10"/>
        <v>0</v>
      </c>
      <c r="J201" s="11">
        <f t="shared" si="11"/>
        <v>0</v>
      </c>
    </row>
    <row r="202" spans="1:10" x14ac:dyDescent="0.35">
      <c r="A202" s="3">
        <v>41</v>
      </c>
      <c r="B202" s="8" t="s">
        <v>27</v>
      </c>
      <c r="C202" s="9" t="s">
        <v>26</v>
      </c>
      <c r="D202" s="10" t="s">
        <v>26</v>
      </c>
      <c r="E202" s="3" t="s">
        <v>26</v>
      </c>
      <c r="F202" s="3">
        <v>5</v>
      </c>
      <c r="G202" s="3" t="s">
        <v>21</v>
      </c>
      <c r="H202" s="11">
        <f t="shared" si="12"/>
        <v>1.25</v>
      </c>
      <c r="I202" s="11">
        <f t="shared" si="10"/>
        <v>0</v>
      </c>
      <c r="J202" s="11">
        <f t="shared" si="11"/>
        <v>0</v>
      </c>
    </row>
    <row r="203" spans="1:10" x14ac:dyDescent="0.35">
      <c r="A203" s="3">
        <v>723</v>
      </c>
      <c r="B203" s="8" t="s">
        <v>27</v>
      </c>
      <c r="C203" s="9" t="s">
        <v>26</v>
      </c>
      <c r="D203" s="10" t="s">
        <v>26</v>
      </c>
      <c r="E203" s="3" t="s">
        <v>26</v>
      </c>
      <c r="F203" s="3">
        <v>5</v>
      </c>
      <c r="G203" s="3" t="s">
        <v>21</v>
      </c>
      <c r="H203" s="11">
        <f t="shared" si="12"/>
        <v>1.25</v>
      </c>
      <c r="I203" s="11">
        <f t="shared" si="10"/>
        <v>0</v>
      </c>
      <c r="J203" s="11">
        <f t="shared" si="11"/>
        <v>0</v>
      </c>
    </row>
    <row r="204" spans="1:10" x14ac:dyDescent="0.35">
      <c r="A204" s="3">
        <v>567</v>
      </c>
      <c r="B204" s="8" t="s">
        <v>27</v>
      </c>
      <c r="C204" s="9" t="s">
        <v>26</v>
      </c>
      <c r="D204" s="10" t="s">
        <v>26</v>
      </c>
      <c r="E204" s="3" t="s">
        <v>26</v>
      </c>
      <c r="F204" s="3">
        <v>5</v>
      </c>
      <c r="G204" s="3" t="s">
        <v>21</v>
      </c>
      <c r="H204" s="11">
        <f t="shared" si="12"/>
        <v>1.25</v>
      </c>
      <c r="I204" s="11">
        <f t="shared" si="10"/>
        <v>0</v>
      </c>
      <c r="J204" s="11">
        <f t="shared" si="11"/>
        <v>0</v>
      </c>
    </row>
    <row r="205" spans="1:10" x14ac:dyDescent="0.35">
      <c r="A205" s="3">
        <v>497</v>
      </c>
      <c r="B205" s="8" t="s">
        <v>26</v>
      </c>
      <c r="C205" s="9" t="s">
        <v>26</v>
      </c>
      <c r="D205" s="10" t="s">
        <v>26</v>
      </c>
      <c r="E205" s="3" t="s">
        <v>26</v>
      </c>
      <c r="F205" s="3">
        <v>0</v>
      </c>
      <c r="G205" s="3" t="s">
        <v>20</v>
      </c>
      <c r="H205" s="11">
        <f t="shared" si="12"/>
        <v>0</v>
      </c>
      <c r="I205" s="11">
        <f t="shared" si="10"/>
        <v>0</v>
      </c>
      <c r="J205" s="11">
        <f t="shared" si="11"/>
        <v>0</v>
      </c>
    </row>
    <row r="206" spans="1:10" x14ac:dyDescent="0.35">
      <c r="A206" s="3">
        <v>546</v>
      </c>
      <c r="B206" s="8" t="s">
        <v>26</v>
      </c>
      <c r="C206" s="9" t="s">
        <v>26</v>
      </c>
      <c r="D206" s="10" t="s">
        <v>26</v>
      </c>
      <c r="E206" s="3" t="s">
        <v>26</v>
      </c>
      <c r="F206" s="3">
        <v>0</v>
      </c>
      <c r="G206" s="3" t="s">
        <v>20</v>
      </c>
      <c r="H206" s="11">
        <f t="shared" si="12"/>
        <v>0</v>
      </c>
      <c r="I206" s="11">
        <f t="shared" si="10"/>
        <v>0</v>
      </c>
      <c r="J206" s="11">
        <f t="shared" si="11"/>
        <v>0</v>
      </c>
    </row>
    <row r="207" spans="1:10" x14ac:dyDescent="0.35">
      <c r="A207" s="3">
        <v>571</v>
      </c>
      <c r="B207" s="8" t="s">
        <v>26</v>
      </c>
      <c r="C207" s="9" t="s">
        <v>26</v>
      </c>
      <c r="D207" s="10" t="s">
        <v>26</v>
      </c>
      <c r="E207" s="3" t="s">
        <v>26</v>
      </c>
      <c r="F207" s="3">
        <v>0</v>
      </c>
      <c r="G207" s="3" t="s">
        <v>20</v>
      </c>
      <c r="H207" s="11">
        <f t="shared" si="12"/>
        <v>0</v>
      </c>
      <c r="I207" s="11">
        <f t="shared" si="10"/>
        <v>0</v>
      </c>
      <c r="J207" s="11">
        <f t="shared" si="11"/>
        <v>0</v>
      </c>
    </row>
    <row r="208" spans="1:10" x14ac:dyDescent="0.35">
      <c r="A208" s="3">
        <v>535</v>
      </c>
      <c r="B208" s="8" t="s">
        <v>26</v>
      </c>
      <c r="C208" s="9" t="s">
        <v>26</v>
      </c>
      <c r="D208" s="10" t="s">
        <v>26</v>
      </c>
      <c r="E208" s="3" t="s">
        <v>26</v>
      </c>
      <c r="F208" s="3">
        <v>0</v>
      </c>
      <c r="G208" s="3" t="s">
        <v>20</v>
      </c>
      <c r="H208" s="11">
        <f t="shared" si="12"/>
        <v>0</v>
      </c>
      <c r="I208" s="11">
        <f t="shared" si="10"/>
        <v>0</v>
      </c>
      <c r="J208" s="11">
        <f t="shared" si="11"/>
        <v>0</v>
      </c>
    </row>
    <row r="209" spans="1:10" x14ac:dyDescent="0.35">
      <c r="A209" s="3">
        <v>491</v>
      </c>
      <c r="B209" s="8" t="s">
        <v>27</v>
      </c>
      <c r="C209" s="9" t="s">
        <v>27</v>
      </c>
      <c r="D209" s="10" t="s">
        <v>27</v>
      </c>
      <c r="E209" s="3" t="s">
        <v>26</v>
      </c>
      <c r="F209" s="3">
        <v>10</v>
      </c>
      <c r="G209" s="3" t="s">
        <v>21</v>
      </c>
      <c r="H209" s="11">
        <f t="shared" si="12"/>
        <v>2.5</v>
      </c>
      <c r="I209" s="11">
        <f t="shared" si="10"/>
        <v>0</v>
      </c>
      <c r="J209" s="11">
        <f t="shared" si="11"/>
        <v>0</v>
      </c>
    </row>
    <row r="210" spans="1:10" x14ac:dyDescent="0.35">
      <c r="A210" s="3">
        <v>680</v>
      </c>
      <c r="B210" s="8" t="s">
        <v>27</v>
      </c>
      <c r="C210" s="9" t="s">
        <v>26</v>
      </c>
      <c r="D210" s="10" t="s">
        <v>26</v>
      </c>
      <c r="E210" s="3" t="s">
        <v>26</v>
      </c>
      <c r="F210" s="3">
        <v>5</v>
      </c>
      <c r="G210" s="3" t="s">
        <v>21</v>
      </c>
      <c r="H210" s="11">
        <f t="shared" si="12"/>
        <v>1.25</v>
      </c>
      <c r="I210" s="11">
        <f t="shared" si="10"/>
        <v>0</v>
      </c>
      <c r="J210" s="11">
        <f t="shared" si="11"/>
        <v>0</v>
      </c>
    </row>
    <row r="211" spans="1:10" x14ac:dyDescent="0.35">
      <c r="A211" s="3">
        <v>23</v>
      </c>
      <c r="B211" s="8" t="s">
        <v>26</v>
      </c>
      <c r="C211" s="9" t="s">
        <v>27</v>
      </c>
      <c r="D211" s="10" t="s">
        <v>26</v>
      </c>
      <c r="E211" s="3" t="s">
        <v>26</v>
      </c>
      <c r="F211" s="3">
        <v>5</v>
      </c>
      <c r="G211" s="3" t="s">
        <v>21</v>
      </c>
      <c r="H211" s="11">
        <f t="shared" si="12"/>
        <v>1.25</v>
      </c>
      <c r="I211" s="11">
        <f t="shared" si="10"/>
        <v>0</v>
      </c>
      <c r="J211" s="11">
        <f t="shared" si="11"/>
        <v>0</v>
      </c>
    </row>
    <row r="212" spans="1:10" x14ac:dyDescent="0.35">
      <c r="A212" s="3">
        <v>534</v>
      </c>
      <c r="B212" s="8" t="s">
        <v>27</v>
      </c>
      <c r="C212" s="9" t="s">
        <v>26</v>
      </c>
      <c r="D212" s="10" t="s">
        <v>26</v>
      </c>
      <c r="E212" s="3" t="s">
        <v>26</v>
      </c>
      <c r="F212" s="3">
        <v>5</v>
      </c>
      <c r="G212" s="3" t="s">
        <v>21</v>
      </c>
      <c r="H212" s="11">
        <f t="shared" si="12"/>
        <v>1.25</v>
      </c>
      <c r="I212" s="11">
        <f t="shared" si="10"/>
        <v>0</v>
      </c>
      <c r="J212" s="11">
        <f t="shared" si="11"/>
        <v>0</v>
      </c>
    </row>
    <row r="213" spans="1:10" x14ac:dyDescent="0.35">
      <c r="A213" s="3">
        <v>701</v>
      </c>
      <c r="B213" s="8" t="s">
        <v>26</v>
      </c>
      <c r="C213" s="9" t="s">
        <v>26</v>
      </c>
      <c r="D213" s="10" t="s">
        <v>26</v>
      </c>
      <c r="E213" s="3" t="s">
        <v>26</v>
      </c>
      <c r="F213" s="3">
        <v>0</v>
      </c>
      <c r="G213" s="3" t="s">
        <v>20</v>
      </c>
      <c r="H213" s="11">
        <f t="shared" si="12"/>
        <v>0</v>
      </c>
      <c r="I213" s="11">
        <f t="shared" si="10"/>
        <v>0</v>
      </c>
      <c r="J213" s="11">
        <f t="shared" si="11"/>
        <v>0</v>
      </c>
    </row>
    <row r="214" spans="1:10" x14ac:dyDescent="0.35">
      <c r="A214" s="3">
        <v>683</v>
      </c>
      <c r="B214" s="8" t="s">
        <v>27</v>
      </c>
      <c r="C214" s="9" t="s">
        <v>26</v>
      </c>
      <c r="D214" s="10" t="s">
        <v>26</v>
      </c>
      <c r="E214" s="3" t="s">
        <v>26</v>
      </c>
      <c r="F214" s="3">
        <v>5</v>
      </c>
      <c r="G214" s="3" t="s">
        <v>21</v>
      </c>
      <c r="H214" s="11">
        <f t="shared" si="12"/>
        <v>1.25</v>
      </c>
      <c r="I214" s="11">
        <f t="shared" si="10"/>
        <v>0</v>
      </c>
      <c r="J214" s="11">
        <f t="shared" si="11"/>
        <v>0</v>
      </c>
    </row>
    <row r="215" spans="1:10" x14ac:dyDescent="0.35">
      <c r="A215" s="3">
        <v>21</v>
      </c>
      <c r="B215" s="8" t="s">
        <v>27</v>
      </c>
      <c r="C215" s="9" t="s">
        <v>26</v>
      </c>
      <c r="D215" s="10" t="s">
        <v>26</v>
      </c>
      <c r="E215" s="3" t="s">
        <v>26</v>
      </c>
      <c r="F215" s="3">
        <v>5</v>
      </c>
      <c r="G215" s="3" t="s">
        <v>21</v>
      </c>
      <c r="H215" s="11">
        <f t="shared" si="12"/>
        <v>1.25</v>
      </c>
      <c r="I215" s="11">
        <f t="shared" si="10"/>
        <v>0</v>
      </c>
      <c r="J215" s="11">
        <f t="shared" si="11"/>
        <v>0</v>
      </c>
    </row>
  </sheetData>
  <mergeCells count="3">
    <mergeCell ref="A1:K1"/>
    <mergeCell ref="L1:R1"/>
    <mergeCell ref="T1:U1"/>
  </mergeCells>
  <conditionalFormatting sqref="E2">
    <cfRule type="cellIs" dxfId="2" priority="1" operator="equal">
      <formula>$E$47</formula>
    </cfRule>
    <cfRule type="cellIs" dxfId="1" priority="2" operator="equal">
      <formula>$E$14</formula>
    </cfRule>
    <cfRule type="cellIs" dxfId="0" priority="3" operator="equal">
      <formula>$E$3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FE4A-FB7B-4F5B-9455-D97BB070B11B}">
  <dimension ref="A1:J214"/>
  <sheetViews>
    <sheetView workbookViewId="0">
      <selection activeCell="A2" sqref="A2"/>
    </sheetView>
  </sheetViews>
  <sheetFormatPr defaultRowHeight="14.5" x14ac:dyDescent="0.35"/>
  <sheetData>
    <row r="1" spans="1:10" x14ac:dyDescent="0.35">
      <c r="A1" t="str" cm="1">
        <f t="array" ref="A1:J214">Sheet1!A2:J215</f>
        <v>IID</v>
      </c>
      <c r="B1" t="str">
        <v>Flecking (white)</v>
      </c>
      <c r="C1" t="str">
        <v>Chlorosis (red)</v>
      </c>
      <c r="D1" t="str">
        <v>Necrosis</v>
      </c>
      <c r="E1" t="str">
        <v>Active sporulation (restr./not restr.)</v>
      </c>
      <c r="F1" t="str">
        <v>Coverage</v>
      </c>
      <c r="G1" t="str">
        <v>Imm. resp.</v>
      </c>
      <c r="H1" t="str">
        <v>COI scores</v>
      </c>
      <c r="I1" t="str">
        <v>Binary_MS</v>
      </c>
      <c r="J1" t="str">
        <v>Binary_MRMS</v>
      </c>
    </row>
    <row r="2" spans="1:10" x14ac:dyDescent="0.35">
      <c r="A2">
        <v>624</v>
      </c>
      <c r="B2" t="str">
        <v>No</v>
      </c>
      <c r="C2" t="str">
        <v>Yes</v>
      </c>
      <c r="D2" t="str">
        <v>No</v>
      </c>
      <c r="E2" t="str">
        <v>Unrestricted</v>
      </c>
      <c r="F2">
        <v>60</v>
      </c>
      <c r="G2" t="str">
        <v>S</v>
      </c>
      <c r="H2">
        <v>52.5</v>
      </c>
      <c r="I2">
        <v>1</v>
      </c>
      <c r="J2">
        <v>1</v>
      </c>
    </row>
    <row r="3" spans="1:10" x14ac:dyDescent="0.35">
      <c r="A3">
        <v>548</v>
      </c>
      <c r="B3" t="str">
        <v>No</v>
      </c>
      <c r="C3" t="str">
        <v>No</v>
      </c>
      <c r="D3" t="str">
        <v>No</v>
      </c>
      <c r="E3" t="str">
        <v>No</v>
      </c>
      <c r="F3">
        <v>0</v>
      </c>
      <c r="G3" t="str">
        <v>HR</v>
      </c>
      <c r="H3">
        <v>0</v>
      </c>
      <c r="I3">
        <v>0</v>
      </c>
      <c r="J3">
        <v>0</v>
      </c>
    </row>
    <row r="4" spans="1:10" x14ac:dyDescent="0.35">
      <c r="A4">
        <v>271</v>
      </c>
      <c r="B4" t="str">
        <v>Yes</v>
      </c>
      <c r="C4" t="str">
        <v>Yes</v>
      </c>
      <c r="D4" t="str">
        <v>No</v>
      </c>
      <c r="E4" t="str">
        <v>Restricted</v>
      </c>
      <c r="F4">
        <v>5</v>
      </c>
      <c r="G4" t="str">
        <v>MRMS</v>
      </c>
      <c r="H4">
        <v>2.5</v>
      </c>
      <c r="I4">
        <v>0</v>
      </c>
      <c r="J4">
        <v>0</v>
      </c>
    </row>
    <row r="5" spans="1:10" x14ac:dyDescent="0.35">
      <c r="A5">
        <v>608</v>
      </c>
      <c r="B5" t="str">
        <v>Yes</v>
      </c>
      <c r="C5" t="str">
        <v>No</v>
      </c>
      <c r="D5" t="str">
        <v>No</v>
      </c>
      <c r="E5" t="str">
        <v>No</v>
      </c>
      <c r="F5">
        <v>5</v>
      </c>
      <c r="G5" t="str">
        <v>R</v>
      </c>
      <c r="H5">
        <v>1.25</v>
      </c>
      <c r="I5">
        <v>0</v>
      </c>
      <c r="J5">
        <v>0</v>
      </c>
    </row>
    <row r="6" spans="1:10" x14ac:dyDescent="0.35">
      <c r="A6">
        <v>380</v>
      </c>
      <c r="B6" t="str">
        <v>No</v>
      </c>
      <c r="C6" t="str">
        <v>Yes</v>
      </c>
      <c r="D6" t="str">
        <v>No</v>
      </c>
      <c r="E6" t="str">
        <v>Unrestricted</v>
      </c>
      <c r="F6">
        <v>15</v>
      </c>
      <c r="G6" t="str">
        <v>S</v>
      </c>
      <c r="H6">
        <v>13.125</v>
      </c>
      <c r="I6">
        <v>1</v>
      </c>
      <c r="J6">
        <v>1</v>
      </c>
    </row>
    <row r="7" spans="1:10" x14ac:dyDescent="0.35">
      <c r="A7">
        <v>524</v>
      </c>
      <c r="B7" t="str">
        <v>No</v>
      </c>
      <c r="C7" t="str">
        <v>No</v>
      </c>
      <c r="D7" t="str">
        <v>No</v>
      </c>
      <c r="E7" t="str">
        <v>No</v>
      </c>
      <c r="F7">
        <v>0</v>
      </c>
      <c r="G7" t="str">
        <v>HR</v>
      </c>
      <c r="H7">
        <v>0</v>
      </c>
      <c r="I7">
        <v>0</v>
      </c>
      <c r="J7">
        <v>0</v>
      </c>
    </row>
    <row r="8" spans="1:10" x14ac:dyDescent="0.35">
      <c r="A8">
        <v>78</v>
      </c>
      <c r="B8" t="str">
        <v>No</v>
      </c>
      <c r="C8" t="str">
        <v>No</v>
      </c>
      <c r="D8" t="str">
        <v>No</v>
      </c>
      <c r="E8" t="str">
        <v>No</v>
      </c>
      <c r="F8">
        <v>0</v>
      </c>
      <c r="G8" t="str">
        <v>HR</v>
      </c>
      <c r="H8">
        <v>0</v>
      </c>
      <c r="I8">
        <v>0</v>
      </c>
      <c r="J8">
        <v>0</v>
      </c>
    </row>
    <row r="9" spans="1:10" x14ac:dyDescent="0.35">
      <c r="A9">
        <v>554</v>
      </c>
      <c r="B9" t="str">
        <v>No</v>
      </c>
      <c r="C9" t="str">
        <v>No</v>
      </c>
      <c r="D9" t="str">
        <v>No</v>
      </c>
      <c r="E9" t="str">
        <v>No</v>
      </c>
      <c r="F9">
        <v>0</v>
      </c>
      <c r="G9" t="str">
        <v>HR</v>
      </c>
      <c r="H9">
        <v>0</v>
      </c>
      <c r="I9">
        <v>0</v>
      </c>
      <c r="J9">
        <v>0</v>
      </c>
    </row>
    <row r="10" spans="1:10" x14ac:dyDescent="0.35">
      <c r="A10">
        <v>475</v>
      </c>
      <c r="B10" t="str">
        <v>No</v>
      </c>
      <c r="C10" t="str">
        <v>Yes</v>
      </c>
      <c r="D10" t="str">
        <v>No</v>
      </c>
      <c r="E10" t="str">
        <v>Mix</v>
      </c>
      <c r="F10">
        <v>10</v>
      </c>
      <c r="G10" t="str">
        <v>MS</v>
      </c>
      <c r="H10">
        <v>7.5</v>
      </c>
      <c r="I10">
        <v>0</v>
      </c>
      <c r="J10">
        <v>1</v>
      </c>
    </row>
    <row r="11" spans="1:10" x14ac:dyDescent="0.35">
      <c r="A11">
        <v>191</v>
      </c>
      <c r="B11" t="str">
        <v>No</v>
      </c>
      <c r="C11" t="str">
        <v>Yes</v>
      </c>
      <c r="D11" t="str">
        <v>Yes</v>
      </c>
      <c r="E11" t="str">
        <v>Unrestricted</v>
      </c>
      <c r="F11">
        <v>90</v>
      </c>
      <c r="G11" t="str">
        <v>HS</v>
      </c>
      <c r="H11">
        <v>90</v>
      </c>
      <c r="I11">
        <v>1</v>
      </c>
      <c r="J11">
        <v>1</v>
      </c>
    </row>
    <row r="12" spans="1:10" x14ac:dyDescent="0.35">
      <c r="A12">
        <v>27</v>
      </c>
      <c r="B12" t="str">
        <v>Yes</v>
      </c>
      <c r="C12" t="str">
        <v>Yes</v>
      </c>
      <c r="D12" t="str">
        <v>No</v>
      </c>
      <c r="E12" t="str">
        <v>No</v>
      </c>
      <c r="F12">
        <v>5</v>
      </c>
      <c r="G12" t="str">
        <v>R</v>
      </c>
      <c r="H12">
        <v>1.25</v>
      </c>
      <c r="I12">
        <v>0</v>
      </c>
      <c r="J12">
        <v>0</v>
      </c>
    </row>
    <row r="13" spans="1:10" x14ac:dyDescent="0.35">
      <c r="A13">
        <v>10</v>
      </c>
      <c r="B13" t="str">
        <v>Yes</v>
      </c>
      <c r="C13" t="str">
        <v>No</v>
      </c>
      <c r="D13" t="str">
        <v>No</v>
      </c>
      <c r="E13" t="str">
        <v>No</v>
      </c>
      <c r="F13">
        <v>5</v>
      </c>
      <c r="G13" t="str">
        <v>R</v>
      </c>
      <c r="H13">
        <v>1.25</v>
      </c>
      <c r="I13">
        <v>0</v>
      </c>
      <c r="J13">
        <v>0</v>
      </c>
    </row>
    <row r="14" spans="1:10" x14ac:dyDescent="0.35">
      <c r="A14">
        <v>82</v>
      </c>
      <c r="B14" t="str">
        <v>No</v>
      </c>
      <c r="C14" t="str">
        <v>No</v>
      </c>
      <c r="D14" t="str">
        <v>No</v>
      </c>
      <c r="E14" t="str">
        <v>No</v>
      </c>
      <c r="F14">
        <v>0</v>
      </c>
      <c r="G14" t="str">
        <v>HR</v>
      </c>
      <c r="H14">
        <v>0</v>
      </c>
      <c r="I14">
        <v>0</v>
      </c>
      <c r="J14">
        <v>0</v>
      </c>
    </row>
    <row r="15" spans="1:10" x14ac:dyDescent="0.35">
      <c r="A15">
        <v>476</v>
      </c>
      <c r="B15" t="str">
        <v>No</v>
      </c>
      <c r="C15" t="str">
        <v>Yes</v>
      </c>
      <c r="D15" t="str">
        <v>No</v>
      </c>
      <c r="E15" t="str">
        <v>No</v>
      </c>
      <c r="F15">
        <v>30</v>
      </c>
      <c r="G15" t="str">
        <v>R</v>
      </c>
      <c r="H15">
        <v>7.5</v>
      </c>
      <c r="I15">
        <v>0</v>
      </c>
      <c r="J15">
        <v>0</v>
      </c>
    </row>
    <row r="16" spans="1:10" x14ac:dyDescent="0.35">
      <c r="A16">
        <v>47</v>
      </c>
      <c r="B16" t="str">
        <v>Yes</v>
      </c>
      <c r="C16" t="str">
        <v>No</v>
      </c>
      <c r="D16" t="str">
        <v>No</v>
      </c>
      <c r="E16" t="str">
        <v>No</v>
      </c>
      <c r="F16">
        <v>5</v>
      </c>
      <c r="G16" t="str">
        <v>R</v>
      </c>
      <c r="H16">
        <v>1.25</v>
      </c>
      <c r="I16">
        <v>0</v>
      </c>
      <c r="J16">
        <v>0</v>
      </c>
    </row>
    <row r="17" spans="1:10" x14ac:dyDescent="0.35">
      <c r="A17">
        <v>601</v>
      </c>
      <c r="B17" t="str">
        <v>No</v>
      </c>
      <c r="C17" t="str">
        <v>Yes</v>
      </c>
      <c r="D17" t="str">
        <v>No</v>
      </c>
      <c r="E17" t="str">
        <v>Mix</v>
      </c>
      <c r="F17">
        <v>20</v>
      </c>
      <c r="G17" t="str">
        <v>MS</v>
      </c>
      <c r="H17">
        <v>15</v>
      </c>
      <c r="I17">
        <v>0</v>
      </c>
      <c r="J17">
        <v>1</v>
      </c>
    </row>
    <row r="18" spans="1:10" x14ac:dyDescent="0.35">
      <c r="A18">
        <v>685</v>
      </c>
      <c r="B18" t="str">
        <v>No</v>
      </c>
      <c r="C18" t="str">
        <v>No</v>
      </c>
      <c r="D18" t="str">
        <v>No</v>
      </c>
      <c r="E18" t="str">
        <v>No</v>
      </c>
      <c r="F18">
        <v>0</v>
      </c>
      <c r="G18" t="str">
        <v>HR</v>
      </c>
      <c r="H18">
        <v>0</v>
      </c>
      <c r="I18">
        <v>0</v>
      </c>
      <c r="J18">
        <v>0</v>
      </c>
    </row>
    <row r="19" spans="1:10" x14ac:dyDescent="0.35">
      <c r="A19">
        <v>195</v>
      </c>
      <c r="B19" t="str">
        <v>No</v>
      </c>
      <c r="C19" t="str">
        <v>Yes</v>
      </c>
      <c r="D19" t="str">
        <v>No</v>
      </c>
      <c r="E19" t="str">
        <v>Restricted</v>
      </c>
      <c r="F19">
        <v>5</v>
      </c>
      <c r="G19" t="str">
        <v>MRMS</v>
      </c>
      <c r="H19">
        <v>2.5</v>
      </c>
      <c r="I19">
        <v>0</v>
      </c>
      <c r="J19">
        <v>0</v>
      </c>
    </row>
    <row r="20" spans="1:10" x14ac:dyDescent="0.35">
      <c r="A20">
        <v>345</v>
      </c>
      <c r="B20" t="str">
        <v>Yes</v>
      </c>
      <c r="C20" t="str">
        <v>No</v>
      </c>
      <c r="D20" t="str">
        <v>No</v>
      </c>
      <c r="E20" t="str">
        <v>No</v>
      </c>
      <c r="F20">
        <v>5</v>
      </c>
      <c r="G20" t="str">
        <v>R</v>
      </c>
      <c r="H20">
        <v>1.25</v>
      </c>
      <c r="I20">
        <v>0</v>
      </c>
      <c r="J20">
        <v>0</v>
      </c>
    </row>
    <row r="21" spans="1:10" x14ac:dyDescent="0.35">
      <c r="A21">
        <v>526</v>
      </c>
      <c r="B21" t="str">
        <v>Yes</v>
      </c>
      <c r="C21" t="str">
        <v>No</v>
      </c>
      <c r="D21" t="str">
        <v>No</v>
      </c>
      <c r="E21" t="str">
        <v>No</v>
      </c>
      <c r="F21">
        <v>5</v>
      </c>
      <c r="G21" t="str">
        <v>R</v>
      </c>
      <c r="H21">
        <v>1.25</v>
      </c>
      <c r="I21">
        <v>0</v>
      </c>
      <c r="J21">
        <v>0</v>
      </c>
    </row>
    <row r="22" spans="1:10" x14ac:dyDescent="0.35">
      <c r="A22">
        <v>553</v>
      </c>
      <c r="B22" t="str">
        <v>Yes</v>
      </c>
      <c r="C22" t="str">
        <v>No</v>
      </c>
      <c r="D22" t="str">
        <v>No</v>
      </c>
      <c r="E22" t="str">
        <v>No</v>
      </c>
      <c r="F22">
        <v>5</v>
      </c>
      <c r="G22" t="str">
        <v>R</v>
      </c>
      <c r="H22">
        <v>1.25</v>
      </c>
      <c r="I22">
        <v>0</v>
      </c>
      <c r="J22">
        <v>0</v>
      </c>
    </row>
    <row r="23" spans="1:10" x14ac:dyDescent="0.35">
      <c r="A23">
        <v>305</v>
      </c>
      <c r="B23" t="str">
        <v>No</v>
      </c>
      <c r="C23" t="str">
        <v>No</v>
      </c>
      <c r="D23" t="str">
        <v>No</v>
      </c>
      <c r="E23" t="str">
        <v>No</v>
      </c>
      <c r="F23">
        <v>0</v>
      </c>
      <c r="G23" t="str">
        <v>HR</v>
      </c>
      <c r="H23">
        <v>0</v>
      </c>
      <c r="I23">
        <v>0</v>
      </c>
      <c r="J23">
        <v>0</v>
      </c>
    </row>
    <row r="24" spans="1:10" x14ac:dyDescent="0.35">
      <c r="A24">
        <v>623</v>
      </c>
      <c r="B24" t="str">
        <v>Yes</v>
      </c>
      <c r="C24" t="str">
        <v>No</v>
      </c>
      <c r="D24" t="str">
        <v>No</v>
      </c>
      <c r="E24" t="str">
        <v>No</v>
      </c>
      <c r="F24">
        <v>5</v>
      </c>
      <c r="G24" t="str">
        <v>R</v>
      </c>
      <c r="H24">
        <v>1.25</v>
      </c>
      <c r="I24">
        <v>0</v>
      </c>
      <c r="J24">
        <v>0</v>
      </c>
    </row>
    <row r="25" spans="1:10" x14ac:dyDescent="0.35">
      <c r="A25">
        <v>301</v>
      </c>
      <c r="B25" t="str">
        <v>No</v>
      </c>
      <c r="C25" t="str">
        <v>Yes</v>
      </c>
      <c r="D25" t="str">
        <v>Yes</v>
      </c>
      <c r="E25" t="str">
        <v>Restricted</v>
      </c>
      <c r="F25">
        <v>10</v>
      </c>
      <c r="G25" t="str">
        <v>MRMS</v>
      </c>
      <c r="H25">
        <v>5</v>
      </c>
      <c r="I25">
        <v>0</v>
      </c>
      <c r="J25">
        <v>0</v>
      </c>
    </row>
    <row r="26" spans="1:10" x14ac:dyDescent="0.35">
      <c r="A26">
        <v>568</v>
      </c>
      <c r="B26" t="str">
        <v>Yes</v>
      </c>
      <c r="C26" t="str">
        <v>No</v>
      </c>
      <c r="D26" t="str">
        <v>No</v>
      </c>
      <c r="E26" t="str">
        <v>No</v>
      </c>
      <c r="F26">
        <v>5</v>
      </c>
      <c r="G26" t="str">
        <v>R</v>
      </c>
      <c r="H26">
        <v>1.25</v>
      </c>
      <c r="I26">
        <v>0</v>
      </c>
      <c r="J26">
        <v>0</v>
      </c>
    </row>
    <row r="27" spans="1:10" x14ac:dyDescent="0.35">
      <c r="A27">
        <v>493</v>
      </c>
      <c r="B27" t="str">
        <v>No</v>
      </c>
      <c r="C27" t="str">
        <v>Yes</v>
      </c>
      <c r="D27" t="str">
        <v>Yes</v>
      </c>
      <c r="E27" t="str">
        <v>Unrestricted</v>
      </c>
      <c r="F27">
        <v>20</v>
      </c>
      <c r="G27" t="str">
        <v>S</v>
      </c>
      <c r="H27">
        <v>17.5</v>
      </c>
      <c r="I27">
        <v>1</v>
      </c>
      <c r="J27">
        <v>1</v>
      </c>
    </row>
    <row r="28" spans="1:10" x14ac:dyDescent="0.35">
      <c r="A28">
        <v>500</v>
      </c>
      <c r="B28" t="str">
        <v>No</v>
      </c>
      <c r="C28" t="str">
        <v>No</v>
      </c>
      <c r="D28" t="str">
        <v>No</v>
      </c>
      <c r="E28" t="str">
        <v>No</v>
      </c>
      <c r="F28">
        <v>0</v>
      </c>
      <c r="G28" t="str">
        <v>HR</v>
      </c>
      <c r="H28">
        <v>0</v>
      </c>
      <c r="I28">
        <v>0</v>
      </c>
      <c r="J28">
        <v>0</v>
      </c>
    </row>
    <row r="29" spans="1:10" x14ac:dyDescent="0.35">
      <c r="A29">
        <v>323</v>
      </c>
      <c r="B29" t="str">
        <v>No</v>
      </c>
      <c r="C29" t="str">
        <v>No</v>
      </c>
      <c r="D29" t="str">
        <v>No</v>
      </c>
      <c r="E29" t="str">
        <v>No</v>
      </c>
      <c r="F29">
        <v>0</v>
      </c>
      <c r="G29" t="str">
        <v>HR</v>
      </c>
      <c r="H29">
        <v>0</v>
      </c>
      <c r="I29">
        <v>0</v>
      </c>
      <c r="J29">
        <v>0</v>
      </c>
    </row>
    <row r="30" spans="1:10" x14ac:dyDescent="0.35">
      <c r="A30">
        <v>326</v>
      </c>
      <c r="B30" t="str">
        <v>No</v>
      </c>
      <c r="C30" t="str">
        <v>Yes</v>
      </c>
      <c r="D30" t="str">
        <v>No</v>
      </c>
      <c r="E30" t="str">
        <v>Restricted</v>
      </c>
      <c r="F30">
        <v>10</v>
      </c>
      <c r="G30" t="str">
        <v>MRMS</v>
      </c>
      <c r="H30">
        <v>5</v>
      </c>
      <c r="I30">
        <v>0</v>
      </c>
      <c r="J30">
        <v>0</v>
      </c>
    </row>
    <row r="31" spans="1:10" x14ac:dyDescent="0.35">
      <c r="A31">
        <v>533</v>
      </c>
      <c r="B31" t="str">
        <v>No</v>
      </c>
      <c r="C31" t="str">
        <v>No</v>
      </c>
      <c r="D31" t="str">
        <v>No</v>
      </c>
      <c r="E31" t="str">
        <v>No</v>
      </c>
      <c r="F31">
        <v>0</v>
      </c>
      <c r="G31" t="str">
        <v>HR</v>
      </c>
      <c r="H31">
        <v>0</v>
      </c>
      <c r="I31">
        <v>0</v>
      </c>
      <c r="J31">
        <v>0</v>
      </c>
    </row>
    <row r="32" spans="1:10" x14ac:dyDescent="0.35">
      <c r="A32">
        <v>252</v>
      </c>
      <c r="B32" t="str">
        <v>No</v>
      </c>
      <c r="C32" t="str">
        <v>Yes</v>
      </c>
      <c r="D32" t="str">
        <v>Yes</v>
      </c>
      <c r="E32" t="str">
        <v>Restricted</v>
      </c>
      <c r="F32">
        <v>20</v>
      </c>
      <c r="G32" t="str">
        <v>MRMS</v>
      </c>
      <c r="H32">
        <v>10</v>
      </c>
      <c r="I32">
        <v>0</v>
      </c>
      <c r="J32">
        <v>0</v>
      </c>
    </row>
    <row r="33" spans="1:10" x14ac:dyDescent="0.35">
      <c r="A33">
        <v>520</v>
      </c>
      <c r="B33" t="str">
        <v>No</v>
      </c>
      <c r="C33" t="str">
        <v>Yes</v>
      </c>
      <c r="D33" t="str">
        <v>No</v>
      </c>
      <c r="E33" t="str">
        <v>Restricted</v>
      </c>
      <c r="F33">
        <v>5</v>
      </c>
      <c r="G33" t="str">
        <v>MRMS</v>
      </c>
      <c r="H33">
        <v>2.5</v>
      </c>
      <c r="I33">
        <v>0</v>
      </c>
      <c r="J33">
        <v>0</v>
      </c>
    </row>
    <row r="34" spans="1:10" x14ac:dyDescent="0.35">
      <c r="A34">
        <v>677</v>
      </c>
      <c r="B34" t="str">
        <v>No</v>
      </c>
      <c r="C34" t="str">
        <v>No</v>
      </c>
      <c r="D34" t="str">
        <v>No</v>
      </c>
      <c r="E34" t="str">
        <v>No</v>
      </c>
      <c r="F34">
        <v>0</v>
      </c>
      <c r="G34" t="str">
        <v>HR</v>
      </c>
      <c r="H34">
        <v>0</v>
      </c>
      <c r="I34">
        <v>0</v>
      </c>
      <c r="J34">
        <v>0</v>
      </c>
    </row>
    <row r="35" spans="1:10" x14ac:dyDescent="0.35">
      <c r="A35">
        <v>517</v>
      </c>
      <c r="B35" t="str">
        <v>No</v>
      </c>
      <c r="C35" t="str">
        <v>No</v>
      </c>
      <c r="D35" t="str">
        <v>No</v>
      </c>
      <c r="E35" t="str">
        <v>No</v>
      </c>
      <c r="F35">
        <v>0</v>
      </c>
      <c r="G35" t="str">
        <v>HR</v>
      </c>
      <c r="H35">
        <v>0</v>
      </c>
      <c r="I35">
        <v>0</v>
      </c>
      <c r="J35">
        <v>0</v>
      </c>
    </row>
    <row r="36" spans="1:10" x14ac:dyDescent="0.35">
      <c r="A36">
        <v>671</v>
      </c>
      <c r="B36" t="str">
        <v>No</v>
      </c>
      <c r="C36" t="str">
        <v>Yes</v>
      </c>
      <c r="D36" t="str">
        <v>No</v>
      </c>
      <c r="E36" t="str">
        <v>No</v>
      </c>
      <c r="F36">
        <v>5</v>
      </c>
      <c r="G36" t="str">
        <v>R</v>
      </c>
      <c r="H36">
        <v>1.25</v>
      </c>
      <c r="I36">
        <v>0</v>
      </c>
      <c r="J36">
        <v>0</v>
      </c>
    </row>
    <row r="37" spans="1:10" x14ac:dyDescent="0.35">
      <c r="A37">
        <v>724</v>
      </c>
      <c r="B37" t="str">
        <v>No</v>
      </c>
      <c r="C37" t="str">
        <v>No</v>
      </c>
      <c r="D37" t="str">
        <v>No</v>
      </c>
      <c r="E37" t="str">
        <v>No</v>
      </c>
      <c r="F37">
        <v>0</v>
      </c>
      <c r="G37" t="str">
        <v>HR</v>
      </c>
      <c r="H37">
        <v>0</v>
      </c>
      <c r="I37">
        <v>0</v>
      </c>
      <c r="J37">
        <v>0</v>
      </c>
    </row>
    <row r="38" spans="1:10" x14ac:dyDescent="0.35">
      <c r="A38">
        <v>24</v>
      </c>
      <c r="B38" t="str">
        <v>No</v>
      </c>
      <c r="C38" t="str">
        <v>Yes</v>
      </c>
      <c r="D38" t="str">
        <v>No</v>
      </c>
      <c r="E38" t="str">
        <v>No</v>
      </c>
      <c r="F38">
        <v>5</v>
      </c>
      <c r="G38" t="str">
        <v>R</v>
      </c>
      <c r="H38">
        <v>1.25</v>
      </c>
      <c r="I38">
        <v>0</v>
      </c>
      <c r="J38">
        <v>0</v>
      </c>
    </row>
    <row r="39" spans="1:10" x14ac:dyDescent="0.35">
      <c r="A39">
        <v>705</v>
      </c>
      <c r="B39" t="str">
        <v>No</v>
      </c>
      <c r="C39" t="str">
        <v>No</v>
      </c>
      <c r="D39" t="str">
        <v>No</v>
      </c>
      <c r="E39" t="str">
        <v>No</v>
      </c>
      <c r="F39">
        <v>0</v>
      </c>
      <c r="G39" t="str">
        <v>HR</v>
      </c>
      <c r="H39">
        <v>0</v>
      </c>
      <c r="I39">
        <v>0</v>
      </c>
      <c r="J39">
        <v>0</v>
      </c>
    </row>
    <row r="40" spans="1:10" x14ac:dyDescent="0.35">
      <c r="A40">
        <v>436</v>
      </c>
      <c r="B40" t="str">
        <v>Yes</v>
      </c>
      <c r="C40" t="str">
        <v>Yes</v>
      </c>
      <c r="D40" t="str">
        <v>Yes</v>
      </c>
      <c r="E40" t="str">
        <v>Mix</v>
      </c>
      <c r="F40">
        <v>20</v>
      </c>
      <c r="G40" t="str">
        <v>MS</v>
      </c>
      <c r="H40">
        <v>15</v>
      </c>
      <c r="I40">
        <v>0</v>
      </c>
      <c r="J40">
        <v>1</v>
      </c>
    </row>
    <row r="41" spans="1:10" x14ac:dyDescent="0.35">
      <c r="A41">
        <v>587</v>
      </c>
      <c r="B41" t="str">
        <v>No</v>
      </c>
      <c r="C41" t="str">
        <v>No</v>
      </c>
      <c r="D41" t="str">
        <v>No</v>
      </c>
      <c r="E41" t="str">
        <v>No</v>
      </c>
      <c r="F41">
        <v>0</v>
      </c>
      <c r="G41" t="str">
        <v>HR</v>
      </c>
      <c r="H41">
        <v>0</v>
      </c>
      <c r="I41">
        <v>0</v>
      </c>
      <c r="J41">
        <v>0</v>
      </c>
    </row>
    <row r="42" spans="1:10" x14ac:dyDescent="0.35">
      <c r="A42">
        <v>150</v>
      </c>
      <c r="B42" t="str">
        <v>No</v>
      </c>
      <c r="C42" t="str">
        <v>Yes</v>
      </c>
      <c r="D42" t="str">
        <v>Yes</v>
      </c>
      <c r="E42" t="str">
        <v>Restricted</v>
      </c>
      <c r="F42">
        <v>5</v>
      </c>
      <c r="G42" t="str">
        <v>MRMS</v>
      </c>
      <c r="H42">
        <v>2.5</v>
      </c>
      <c r="I42">
        <v>0</v>
      </c>
      <c r="J42">
        <v>0</v>
      </c>
    </row>
    <row r="43" spans="1:10" x14ac:dyDescent="0.35">
      <c r="A43">
        <v>144</v>
      </c>
      <c r="B43" t="str">
        <v>Yes</v>
      </c>
      <c r="C43" t="str">
        <v>No</v>
      </c>
      <c r="D43" t="str">
        <v>No</v>
      </c>
      <c r="E43" t="str">
        <v>No</v>
      </c>
      <c r="F43">
        <v>5</v>
      </c>
      <c r="G43" t="str">
        <v>R</v>
      </c>
      <c r="H43">
        <v>1.25</v>
      </c>
      <c r="I43">
        <v>0</v>
      </c>
      <c r="J43">
        <v>0</v>
      </c>
    </row>
    <row r="44" spans="1:10" x14ac:dyDescent="0.35">
      <c r="A44">
        <v>71</v>
      </c>
      <c r="B44" t="str">
        <v>Yes</v>
      </c>
      <c r="C44" t="str">
        <v>No</v>
      </c>
      <c r="D44" t="str">
        <v>No</v>
      </c>
      <c r="E44" t="str">
        <v>No</v>
      </c>
      <c r="F44">
        <v>10</v>
      </c>
      <c r="G44" t="str">
        <v>R</v>
      </c>
      <c r="H44">
        <v>2.5</v>
      </c>
      <c r="I44">
        <v>0</v>
      </c>
      <c r="J44">
        <v>0</v>
      </c>
    </row>
    <row r="45" spans="1:10" x14ac:dyDescent="0.35">
      <c r="A45">
        <v>371</v>
      </c>
      <c r="B45" t="str">
        <v>No</v>
      </c>
      <c r="C45" t="str">
        <v>Yes</v>
      </c>
      <c r="D45" t="str">
        <v>Yes</v>
      </c>
      <c r="E45" t="str">
        <v>Restricted</v>
      </c>
      <c r="F45">
        <v>10</v>
      </c>
      <c r="G45" t="str">
        <v>MRMS</v>
      </c>
      <c r="H45">
        <v>5</v>
      </c>
      <c r="I45">
        <v>0</v>
      </c>
      <c r="J45">
        <v>0</v>
      </c>
    </row>
    <row r="46" spans="1:10" x14ac:dyDescent="0.35">
      <c r="A46">
        <v>495</v>
      </c>
      <c r="B46" t="str">
        <v>No</v>
      </c>
      <c r="C46" t="str">
        <v>Yes</v>
      </c>
      <c r="D46" t="str">
        <v>No</v>
      </c>
      <c r="E46" t="str">
        <v>Unrestricted</v>
      </c>
      <c r="F46">
        <v>20</v>
      </c>
      <c r="G46" t="str">
        <v>HS</v>
      </c>
      <c r="H46">
        <v>20</v>
      </c>
      <c r="I46">
        <v>1</v>
      </c>
      <c r="J46">
        <v>1</v>
      </c>
    </row>
    <row r="47" spans="1:10" x14ac:dyDescent="0.35">
      <c r="A47">
        <v>425</v>
      </c>
      <c r="B47" t="str">
        <v>Yes</v>
      </c>
      <c r="C47" t="str">
        <v>Yes</v>
      </c>
      <c r="D47" t="str">
        <v>Yes</v>
      </c>
      <c r="E47" t="str">
        <v>Mix</v>
      </c>
      <c r="F47">
        <v>10</v>
      </c>
      <c r="G47" t="str">
        <v>MS</v>
      </c>
      <c r="H47">
        <v>7.5</v>
      </c>
      <c r="I47">
        <v>0</v>
      </c>
      <c r="J47">
        <v>1</v>
      </c>
    </row>
    <row r="48" spans="1:10" x14ac:dyDescent="0.35">
      <c r="A48">
        <v>368</v>
      </c>
      <c r="B48" t="str">
        <v>No</v>
      </c>
      <c r="C48" t="str">
        <v>Yes</v>
      </c>
      <c r="D48" t="str">
        <v>No</v>
      </c>
      <c r="E48" t="str">
        <v>Restricted</v>
      </c>
      <c r="F48">
        <v>5</v>
      </c>
      <c r="G48" t="str">
        <v>MRMS</v>
      </c>
      <c r="H48">
        <v>2.5</v>
      </c>
      <c r="I48">
        <v>0</v>
      </c>
      <c r="J48">
        <v>0</v>
      </c>
    </row>
    <row r="49" spans="1:10" x14ac:dyDescent="0.35">
      <c r="A49">
        <v>296</v>
      </c>
      <c r="B49" t="str">
        <v>No</v>
      </c>
      <c r="C49" t="str">
        <v>No</v>
      </c>
      <c r="D49" t="str">
        <v>No</v>
      </c>
      <c r="E49" t="str">
        <v>No</v>
      </c>
      <c r="F49">
        <v>0</v>
      </c>
      <c r="G49" t="str">
        <v>HR</v>
      </c>
      <c r="H49">
        <v>0</v>
      </c>
      <c r="I49">
        <v>0</v>
      </c>
      <c r="J49">
        <v>0</v>
      </c>
    </row>
    <row r="50" spans="1:10" x14ac:dyDescent="0.35">
      <c r="A50">
        <v>515</v>
      </c>
      <c r="B50" t="str">
        <v>No</v>
      </c>
      <c r="C50" t="str">
        <v>No</v>
      </c>
      <c r="D50" t="str">
        <v>No</v>
      </c>
      <c r="E50" t="str">
        <v>No</v>
      </c>
      <c r="F50">
        <v>0</v>
      </c>
      <c r="G50" t="str">
        <v>HR</v>
      </c>
      <c r="H50">
        <v>0</v>
      </c>
      <c r="I50">
        <v>0</v>
      </c>
      <c r="J50">
        <v>0</v>
      </c>
    </row>
    <row r="51" spans="1:10" x14ac:dyDescent="0.35">
      <c r="A51">
        <v>9</v>
      </c>
      <c r="B51" t="str">
        <v>No</v>
      </c>
      <c r="C51" t="str">
        <v>No</v>
      </c>
      <c r="D51" t="str">
        <v>No</v>
      </c>
      <c r="E51" t="str">
        <v>No</v>
      </c>
      <c r="F51">
        <v>0</v>
      </c>
      <c r="G51" t="str">
        <v>HR</v>
      </c>
      <c r="H51">
        <v>0</v>
      </c>
      <c r="I51">
        <v>0</v>
      </c>
      <c r="J51">
        <v>0</v>
      </c>
    </row>
    <row r="52" spans="1:10" x14ac:dyDescent="0.35">
      <c r="A52">
        <v>628</v>
      </c>
      <c r="B52" t="str">
        <v>No</v>
      </c>
      <c r="C52" t="str">
        <v>No</v>
      </c>
      <c r="D52" t="str">
        <v>No</v>
      </c>
      <c r="E52" t="str">
        <v>No</v>
      </c>
      <c r="F52">
        <v>0</v>
      </c>
      <c r="G52" t="str">
        <v>HR</v>
      </c>
      <c r="H52">
        <v>0</v>
      </c>
      <c r="I52">
        <v>0</v>
      </c>
      <c r="J52">
        <v>0</v>
      </c>
    </row>
    <row r="53" spans="1:10" x14ac:dyDescent="0.35">
      <c r="A53">
        <v>180</v>
      </c>
      <c r="B53" t="str">
        <v>No</v>
      </c>
      <c r="C53" t="str">
        <v>No</v>
      </c>
      <c r="D53" t="str">
        <v>No</v>
      </c>
      <c r="E53" t="str">
        <v>No</v>
      </c>
      <c r="F53">
        <v>0</v>
      </c>
      <c r="G53" t="str">
        <v>HR</v>
      </c>
      <c r="H53">
        <v>0</v>
      </c>
      <c r="I53">
        <v>0</v>
      </c>
      <c r="J53">
        <v>0</v>
      </c>
    </row>
    <row r="54" spans="1:10" x14ac:dyDescent="0.35">
      <c r="A54">
        <v>664</v>
      </c>
      <c r="B54" t="str">
        <v>No</v>
      </c>
      <c r="C54" t="str">
        <v>No</v>
      </c>
      <c r="D54" t="str">
        <v>No</v>
      </c>
      <c r="E54" t="str">
        <v>No</v>
      </c>
      <c r="F54">
        <v>0</v>
      </c>
      <c r="G54" t="str">
        <v>HR</v>
      </c>
      <c r="H54">
        <v>0</v>
      </c>
      <c r="I54">
        <v>0</v>
      </c>
      <c r="J54">
        <v>0</v>
      </c>
    </row>
    <row r="55" spans="1:10" x14ac:dyDescent="0.35">
      <c r="A55">
        <v>136</v>
      </c>
      <c r="B55" t="str">
        <v>Yes</v>
      </c>
      <c r="C55" t="str">
        <v>Yes</v>
      </c>
      <c r="D55" t="str">
        <v>No</v>
      </c>
      <c r="E55" t="str">
        <v>No</v>
      </c>
      <c r="F55">
        <v>5</v>
      </c>
      <c r="G55" t="str">
        <v>R</v>
      </c>
      <c r="H55">
        <v>1.25</v>
      </c>
      <c r="I55">
        <v>0</v>
      </c>
      <c r="J55">
        <v>0</v>
      </c>
    </row>
    <row r="56" spans="1:10" x14ac:dyDescent="0.35">
      <c r="A56">
        <v>648</v>
      </c>
      <c r="B56" t="str">
        <v>Yes</v>
      </c>
      <c r="C56" t="str">
        <v>Yes</v>
      </c>
      <c r="D56" t="str">
        <v>Yes</v>
      </c>
      <c r="E56" t="str">
        <v>Unrestricted</v>
      </c>
      <c r="F56">
        <v>70</v>
      </c>
      <c r="G56" t="str">
        <v>HS</v>
      </c>
      <c r="H56">
        <v>70</v>
      </c>
      <c r="I56">
        <v>1</v>
      </c>
      <c r="J56">
        <v>1</v>
      </c>
    </row>
    <row r="57" spans="1:10" x14ac:dyDescent="0.35">
      <c r="A57">
        <v>171</v>
      </c>
      <c r="B57" t="str">
        <v>No</v>
      </c>
      <c r="C57" t="str">
        <v>Yes</v>
      </c>
      <c r="D57" t="str">
        <v>Yes</v>
      </c>
      <c r="E57" t="str">
        <v>Unrestricted</v>
      </c>
      <c r="F57">
        <v>50</v>
      </c>
      <c r="G57" t="str">
        <v>HS</v>
      </c>
      <c r="H57">
        <v>50</v>
      </c>
      <c r="I57">
        <v>1</v>
      </c>
      <c r="J57">
        <v>1</v>
      </c>
    </row>
    <row r="58" spans="1:10" x14ac:dyDescent="0.35">
      <c r="A58">
        <v>346</v>
      </c>
      <c r="B58" t="str">
        <v>Yes</v>
      </c>
      <c r="C58" t="str">
        <v>Yes</v>
      </c>
      <c r="D58" t="str">
        <v>Yes</v>
      </c>
      <c r="E58" t="str">
        <v>Unrestricted</v>
      </c>
      <c r="F58">
        <v>50</v>
      </c>
      <c r="G58" t="str">
        <v>HS</v>
      </c>
      <c r="H58">
        <v>50</v>
      </c>
      <c r="I58">
        <v>1</v>
      </c>
      <c r="J58">
        <v>1</v>
      </c>
    </row>
    <row r="59" spans="1:10" x14ac:dyDescent="0.35">
      <c r="A59">
        <v>684</v>
      </c>
      <c r="B59" t="str">
        <v>No</v>
      </c>
      <c r="C59" t="str">
        <v>No</v>
      </c>
      <c r="D59" t="str">
        <v>Yes</v>
      </c>
      <c r="E59" t="str">
        <v>No</v>
      </c>
      <c r="F59">
        <v>5</v>
      </c>
      <c r="G59" t="str">
        <v>R</v>
      </c>
      <c r="H59">
        <v>1.25</v>
      </c>
      <c r="I59">
        <v>0</v>
      </c>
      <c r="J59">
        <v>0</v>
      </c>
    </row>
    <row r="60" spans="1:10" x14ac:dyDescent="0.35">
      <c r="A60">
        <v>529</v>
      </c>
      <c r="B60" t="str">
        <v>Yes</v>
      </c>
      <c r="C60" t="str">
        <v>No</v>
      </c>
      <c r="D60" t="str">
        <v>No</v>
      </c>
      <c r="E60" t="str">
        <v>No</v>
      </c>
      <c r="F60">
        <v>5</v>
      </c>
      <c r="G60" t="str">
        <v>R</v>
      </c>
      <c r="H60">
        <v>1.25</v>
      </c>
      <c r="I60">
        <v>0</v>
      </c>
      <c r="J60">
        <v>0</v>
      </c>
    </row>
    <row r="61" spans="1:10" x14ac:dyDescent="0.35">
      <c r="A61">
        <v>178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 t="e">
        <v>#N/A</v>
      </c>
      <c r="I61">
        <v>0</v>
      </c>
      <c r="J61">
        <v>0</v>
      </c>
    </row>
    <row r="62" spans="1:10" x14ac:dyDescent="0.35">
      <c r="A62">
        <v>322</v>
      </c>
      <c r="B62" t="str">
        <v>Yes</v>
      </c>
      <c r="C62" t="str">
        <v>Yes</v>
      </c>
      <c r="D62" t="str">
        <v>No</v>
      </c>
      <c r="E62" t="str">
        <v>No</v>
      </c>
      <c r="F62">
        <v>5</v>
      </c>
      <c r="G62" t="str">
        <v>R</v>
      </c>
      <c r="H62">
        <v>1.25</v>
      </c>
      <c r="I62">
        <v>0</v>
      </c>
      <c r="J62">
        <v>0</v>
      </c>
    </row>
    <row r="63" spans="1:10" x14ac:dyDescent="0.35">
      <c r="A63">
        <v>77</v>
      </c>
      <c r="B63" t="str">
        <v>No</v>
      </c>
      <c r="C63" t="str">
        <v>Yes</v>
      </c>
      <c r="D63" t="str">
        <v>No</v>
      </c>
      <c r="E63" t="str">
        <v>Restricted</v>
      </c>
      <c r="F63">
        <v>40</v>
      </c>
      <c r="G63" t="str">
        <v>MRMS</v>
      </c>
      <c r="H63">
        <v>20</v>
      </c>
      <c r="I63">
        <v>0</v>
      </c>
      <c r="J63">
        <v>0</v>
      </c>
    </row>
    <row r="64" spans="1:10" x14ac:dyDescent="0.35">
      <c r="A64">
        <v>16</v>
      </c>
      <c r="B64" t="str">
        <v>Yes</v>
      </c>
      <c r="C64" t="str">
        <v>No</v>
      </c>
      <c r="D64" t="str">
        <v>No</v>
      </c>
      <c r="E64" t="str">
        <v>No</v>
      </c>
      <c r="F64">
        <v>5</v>
      </c>
      <c r="G64" t="str">
        <v>R</v>
      </c>
      <c r="H64">
        <v>1.25</v>
      </c>
      <c r="I64">
        <v>0</v>
      </c>
      <c r="J64">
        <v>0</v>
      </c>
    </row>
    <row r="65" spans="1:10" x14ac:dyDescent="0.35">
      <c r="A65">
        <v>457</v>
      </c>
      <c r="B65" t="str">
        <v>Yes</v>
      </c>
      <c r="C65" t="str">
        <v>Yes</v>
      </c>
      <c r="D65" t="str">
        <v>No</v>
      </c>
      <c r="E65" t="str">
        <v>No</v>
      </c>
      <c r="F65">
        <v>20</v>
      </c>
      <c r="G65" t="str">
        <v>R</v>
      </c>
      <c r="H65">
        <v>5</v>
      </c>
      <c r="I65">
        <v>0</v>
      </c>
      <c r="J65">
        <v>0</v>
      </c>
    </row>
    <row r="66" spans="1:10" x14ac:dyDescent="0.35">
      <c r="A66">
        <v>87</v>
      </c>
      <c r="B66" t="str">
        <v>Yes</v>
      </c>
      <c r="C66" t="str">
        <v>Yes</v>
      </c>
      <c r="D66" t="str">
        <v>Yes</v>
      </c>
      <c r="E66" t="str">
        <v>Mix</v>
      </c>
      <c r="F66">
        <v>40</v>
      </c>
      <c r="G66" t="str">
        <v>MS</v>
      </c>
      <c r="H66">
        <v>30</v>
      </c>
      <c r="I66">
        <v>0</v>
      </c>
      <c r="J66">
        <v>1</v>
      </c>
    </row>
    <row r="67" spans="1:10" x14ac:dyDescent="0.35">
      <c r="A67">
        <v>197</v>
      </c>
      <c r="B67" t="str">
        <v>No</v>
      </c>
      <c r="C67" t="str">
        <v>Yes</v>
      </c>
      <c r="D67" t="str">
        <v>Yes</v>
      </c>
      <c r="E67" t="str">
        <v>Unrestricted</v>
      </c>
      <c r="F67">
        <v>10</v>
      </c>
      <c r="G67" t="str">
        <v>S</v>
      </c>
      <c r="H67">
        <v>8.75</v>
      </c>
      <c r="I67">
        <v>1</v>
      </c>
      <c r="J67">
        <v>1</v>
      </c>
    </row>
    <row r="68" spans="1:10" x14ac:dyDescent="0.35">
      <c r="A68">
        <v>676</v>
      </c>
      <c r="B68" t="str">
        <v>Yes</v>
      </c>
      <c r="C68" t="str">
        <v>No</v>
      </c>
      <c r="D68" t="str">
        <v>No</v>
      </c>
      <c r="E68" t="str">
        <v>No</v>
      </c>
      <c r="F68">
        <v>5</v>
      </c>
      <c r="G68" t="str">
        <v>R</v>
      </c>
      <c r="H68">
        <v>1.25</v>
      </c>
      <c r="I68">
        <v>0</v>
      </c>
      <c r="J68">
        <v>0</v>
      </c>
    </row>
    <row r="69" spans="1:10" x14ac:dyDescent="0.35">
      <c r="A69">
        <v>549</v>
      </c>
      <c r="B69" t="str">
        <v>Yes</v>
      </c>
      <c r="C69" t="str">
        <v>No</v>
      </c>
      <c r="D69" t="str">
        <v>No</v>
      </c>
      <c r="E69" t="str">
        <v>No</v>
      </c>
      <c r="F69">
        <v>5</v>
      </c>
      <c r="G69" t="str">
        <v>R</v>
      </c>
      <c r="H69">
        <v>1.25</v>
      </c>
      <c r="I69">
        <v>0</v>
      </c>
      <c r="J69">
        <v>0</v>
      </c>
    </row>
    <row r="70" spans="1:10" x14ac:dyDescent="0.35">
      <c r="A70">
        <v>96</v>
      </c>
      <c r="B70" t="str">
        <v>No</v>
      </c>
      <c r="C70" t="str">
        <v>No</v>
      </c>
      <c r="D70" t="str">
        <v>No</v>
      </c>
      <c r="E70" t="str">
        <v>No</v>
      </c>
      <c r="F70">
        <v>0</v>
      </c>
      <c r="G70" t="str">
        <v>HR</v>
      </c>
      <c r="H70">
        <v>0</v>
      </c>
      <c r="I70">
        <v>0</v>
      </c>
      <c r="J70">
        <v>0</v>
      </c>
    </row>
    <row r="71" spans="1:10" x14ac:dyDescent="0.35">
      <c r="A71">
        <v>532</v>
      </c>
      <c r="B71" t="str">
        <v>No</v>
      </c>
      <c r="C71" t="str">
        <v>No</v>
      </c>
      <c r="D71" t="str">
        <v>No</v>
      </c>
      <c r="E71" t="str">
        <v>No</v>
      </c>
      <c r="F71">
        <v>0</v>
      </c>
      <c r="G71" t="str">
        <v>HR</v>
      </c>
      <c r="H71">
        <v>0</v>
      </c>
      <c r="I71">
        <v>0</v>
      </c>
      <c r="J71">
        <v>0</v>
      </c>
    </row>
    <row r="72" spans="1:10" x14ac:dyDescent="0.35">
      <c r="A72">
        <v>154</v>
      </c>
      <c r="B72" t="str">
        <v>No</v>
      </c>
      <c r="C72" t="str">
        <v>No</v>
      </c>
      <c r="D72" t="str">
        <v>No</v>
      </c>
      <c r="E72" t="str">
        <v>No</v>
      </c>
      <c r="F72">
        <v>0</v>
      </c>
      <c r="G72" t="str">
        <v>HR</v>
      </c>
      <c r="H72">
        <v>0</v>
      </c>
      <c r="I72">
        <v>0</v>
      </c>
      <c r="J72">
        <v>0</v>
      </c>
    </row>
    <row r="73" spans="1:10" x14ac:dyDescent="0.35">
      <c r="A73">
        <v>329</v>
      </c>
      <c r="B73" t="str">
        <v>Yes</v>
      </c>
      <c r="C73" t="str">
        <v>Yes</v>
      </c>
      <c r="D73" t="str">
        <v>Yes</v>
      </c>
      <c r="E73" t="str">
        <v>Restricted</v>
      </c>
      <c r="F73">
        <v>10</v>
      </c>
      <c r="G73" t="str">
        <v>MRMS</v>
      </c>
      <c r="H73">
        <v>5</v>
      </c>
      <c r="I73">
        <v>0</v>
      </c>
      <c r="J73">
        <v>0</v>
      </c>
    </row>
    <row r="74" spans="1:10" x14ac:dyDescent="0.35">
      <c r="A74">
        <v>7</v>
      </c>
      <c r="B74" t="str">
        <v>Yes</v>
      </c>
      <c r="C74" t="str">
        <v>No</v>
      </c>
      <c r="D74" t="str">
        <v>No</v>
      </c>
      <c r="E74" t="str">
        <v>No</v>
      </c>
      <c r="F74">
        <v>5</v>
      </c>
      <c r="G74" t="str">
        <v>R</v>
      </c>
      <c r="H74">
        <v>1.25</v>
      </c>
      <c r="I74">
        <v>0</v>
      </c>
      <c r="J74">
        <v>0</v>
      </c>
    </row>
    <row r="75" spans="1:10" x14ac:dyDescent="0.35">
      <c r="A75">
        <v>492</v>
      </c>
      <c r="B75" t="str">
        <v>No</v>
      </c>
      <c r="C75" t="str">
        <v>Yes</v>
      </c>
      <c r="D75" t="str">
        <v>Yes</v>
      </c>
      <c r="E75" t="str">
        <v>Restricted</v>
      </c>
      <c r="F75">
        <v>10</v>
      </c>
      <c r="G75" t="str">
        <v>MRMS</v>
      </c>
      <c r="H75">
        <v>5</v>
      </c>
      <c r="I75">
        <v>0</v>
      </c>
      <c r="J75">
        <v>0</v>
      </c>
    </row>
    <row r="76" spans="1:10" x14ac:dyDescent="0.35">
      <c r="A76">
        <v>718</v>
      </c>
      <c r="B76" t="str">
        <v>No</v>
      </c>
      <c r="C76" t="str">
        <v>No</v>
      </c>
      <c r="D76" t="str">
        <v>No</v>
      </c>
      <c r="E76" t="str">
        <v>No</v>
      </c>
      <c r="F76">
        <v>0</v>
      </c>
      <c r="G76" t="str">
        <v>HR</v>
      </c>
      <c r="H76">
        <v>0</v>
      </c>
      <c r="I76">
        <v>0</v>
      </c>
      <c r="J76">
        <v>0</v>
      </c>
    </row>
    <row r="77" spans="1:10" x14ac:dyDescent="0.35">
      <c r="A77">
        <v>227</v>
      </c>
      <c r="B77" t="str">
        <v>No</v>
      </c>
      <c r="C77" t="str">
        <v>No</v>
      </c>
      <c r="D77" t="str">
        <v>No</v>
      </c>
      <c r="E77" t="str">
        <v>No</v>
      </c>
      <c r="F77">
        <v>0</v>
      </c>
      <c r="G77" t="str">
        <v>HR</v>
      </c>
      <c r="H77">
        <v>0</v>
      </c>
      <c r="I77">
        <v>0</v>
      </c>
      <c r="J77">
        <v>0</v>
      </c>
    </row>
    <row r="78" spans="1:10" x14ac:dyDescent="0.35">
      <c r="A78">
        <v>404</v>
      </c>
      <c r="B78" t="str">
        <v>No</v>
      </c>
      <c r="C78" t="str">
        <v>Yes</v>
      </c>
      <c r="D78" t="str">
        <v>No</v>
      </c>
      <c r="E78" t="str">
        <v>Unrestricted</v>
      </c>
      <c r="F78">
        <v>20</v>
      </c>
      <c r="G78" t="str">
        <v>S</v>
      </c>
      <c r="H78">
        <v>17.5</v>
      </c>
      <c r="I78">
        <v>1</v>
      </c>
      <c r="J78">
        <v>1</v>
      </c>
    </row>
    <row r="79" spans="1:10" x14ac:dyDescent="0.35">
      <c r="A79">
        <v>547</v>
      </c>
      <c r="B79" t="str">
        <v>Yes</v>
      </c>
      <c r="C79" t="str">
        <v>No</v>
      </c>
      <c r="D79" t="str">
        <v>No</v>
      </c>
      <c r="E79" t="str">
        <v>No</v>
      </c>
      <c r="F79">
        <v>5</v>
      </c>
      <c r="G79" t="str">
        <v>R</v>
      </c>
      <c r="H79">
        <v>1.25</v>
      </c>
      <c r="I79">
        <v>0</v>
      </c>
      <c r="J79">
        <v>0</v>
      </c>
    </row>
    <row r="80" spans="1:10" x14ac:dyDescent="0.35">
      <c r="A80">
        <v>496</v>
      </c>
      <c r="B80" t="str">
        <v>Yes</v>
      </c>
      <c r="C80" t="str">
        <v>No</v>
      </c>
      <c r="D80" t="str">
        <v>No</v>
      </c>
      <c r="E80" t="str">
        <v>No</v>
      </c>
      <c r="F80">
        <v>5</v>
      </c>
      <c r="G80" t="str">
        <v>R</v>
      </c>
      <c r="H80">
        <v>1.25</v>
      </c>
      <c r="I80">
        <v>0</v>
      </c>
      <c r="J80">
        <v>0</v>
      </c>
    </row>
    <row r="81" spans="1:10" x14ac:dyDescent="0.35">
      <c r="A81">
        <v>499</v>
      </c>
      <c r="B81" t="str">
        <v>No</v>
      </c>
      <c r="C81" t="str">
        <v>Yes</v>
      </c>
      <c r="D81" t="str">
        <v>Yes</v>
      </c>
      <c r="E81" t="str">
        <v>Mix</v>
      </c>
      <c r="F81">
        <v>20</v>
      </c>
      <c r="G81" t="str">
        <v>MS</v>
      </c>
      <c r="H81">
        <v>15</v>
      </c>
      <c r="I81">
        <v>0</v>
      </c>
      <c r="J81">
        <v>1</v>
      </c>
    </row>
    <row r="82" spans="1:10" x14ac:dyDescent="0.35">
      <c r="A82">
        <v>627</v>
      </c>
      <c r="B82" t="str">
        <v>Yes</v>
      </c>
      <c r="C82" t="str">
        <v>No</v>
      </c>
      <c r="D82" t="str">
        <v>No</v>
      </c>
      <c r="E82" t="str">
        <v>No</v>
      </c>
      <c r="F82">
        <v>10</v>
      </c>
      <c r="G82" t="str">
        <v>R</v>
      </c>
      <c r="H82">
        <v>2.5</v>
      </c>
      <c r="I82">
        <v>0</v>
      </c>
      <c r="J82">
        <v>0</v>
      </c>
    </row>
    <row r="83" spans="1:10" x14ac:dyDescent="0.35">
      <c r="A83">
        <v>226</v>
      </c>
      <c r="B83" t="str">
        <v>No</v>
      </c>
      <c r="C83" t="str">
        <v>Yes</v>
      </c>
      <c r="D83" t="str">
        <v>Yes</v>
      </c>
      <c r="E83" t="str">
        <v>Mix</v>
      </c>
      <c r="F83">
        <v>50</v>
      </c>
      <c r="G83" t="str">
        <v>MS</v>
      </c>
      <c r="H83">
        <v>37.5</v>
      </c>
      <c r="I83">
        <v>0</v>
      </c>
      <c r="J83">
        <v>1</v>
      </c>
    </row>
    <row r="84" spans="1:10" x14ac:dyDescent="0.35">
      <c r="A84">
        <v>698</v>
      </c>
      <c r="B84" t="str">
        <v>No</v>
      </c>
      <c r="C84" t="str">
        <v>No</v>
      </c>
      <c r="D84" t="str">
        <v>No</v>
      </c>
      <c r="E84" t="str">
        <v>No</v>
      </c>
      <c r="F84">
        <v>0</v>
      </c>
      <c r="G84" t="str">
        <v>HR</v>
      </c>
      <c r="H84">
        <v>0</v>
      </c>
      <c r="I84">
        <v>0</v>
      </c>
      <c r="J84">
        <v>0</v>
      </c>
    </row>
    <row r="85" spans="1:10" x14ac:dyDescent="0.35">
      <c r="A85">
        <v>42</v>
      </c>
      <c r="B85" t="str">
        <v>Yes</v>
      </c>
      <c r="C85" t="str">
        <v>No</v>
      </c>
      <c r="D85" t="str">
        <v>No</v>
      </c>
      <c r="E85" t="str">
        <v>No</v>
      </c>
      <c r="F85">
        <v>5</v>
      </c>
      <c r="G85" t="str">
        <v>R</v>
      </c>
      <c r="H85">
        <v>1.25</v>
      </c>
      <c r="I85">
        <v>0</v>
      </c>
      <c r="J85">
        <v>0</v>
      </c>
    </row>
    <row r="86" spans="1:10" x14ac:dyDescent="0.35">
      <c r="A86">
        <v>721</v>
      </c>
      <c r="B86" t="str">
        <v>Yes</v>
      </c>
      <c r="C86" t="str">
        <v>No</v>
      </c>
      <c r="D86" t="str">
        <v>No</v>
      </c>
      <c r="E86" t="str">
        <v>No</v>
      </c>
      <c r="F86">
        <v>5</v>
      </c>
      <c r="G86" t="str">
        <v>R</v>
      </c>
      <c r="H86">
        <v>1.25</v>
      </c>
      <c r="I86">
        <v>0</v>
      </c>
      <c r="J86">
        <v>0</v>
      </c>
    </row>
    <row r="87" spans="1:10" x14ac:dyDescent="0.35">
      <c r="A87">
        <v>678</v>
      </c>
      <c r="B87" t="str">
        <v>No</v>
      </c>
      <c r="C87" t="str">
        <v>No</v>
      </c>
      <c r="D87" t="str">
        <v>No</v>
      </c>
      <c r="E87" t="str">
        <v>No</v>
      </c>
      <c r="F87">
        <v>0</v>
      </c>
      <c r="G87" t="str">
        <v>HR</v>
      </c>
      <c r="H87">
        <v>0</v>
      </c>
      <c r="I87">
        <v>0</v>
      </c>
      <c r="J87">
        <v>0</v>
      </c>
    </row>
    <row r="88" spans="1:10" x14ac:dyDescent="0.35">
      <c r="A88">
        <v>629</v>
      </c>
      <c r="B88" t="str">
        <v>Yes</v>
      </c>
      <c r="C88" t="str">
        <v>Yes</v>
      </c>
      <c r="D88" t="str">
        <v>Yes</v>
      </c>
      <c r="E88" t="str">
        <v>Mix</v>
      </c>
      <c r="F88">
        <v>10</v>
      </c>
      <c r="G88" t="str">
        <v>MS</v>
      </c>
      <c r="H88">
        <v>7.5</v>
      </c>
      <c r="I88">
        <v>0</v>
      </c>
      <c r="J88">
        <v>1</v>
      </c>
    </row>
    <row r="89" spans="1:10" x14ac:dyDescent="0.35">
      <c r="A89">
        <v>199</v>
      </c>
      <c r="B89" t="str">
        <v>No</v>
      </c>
      <c r="C89" t="str">
        <v>Yes</v>
      </c>
      <c r="D89" t="str">
        <v>Yes</v>
      </c>
      <c r="E89" t="str">
        <v>Unrestricted</v>
      </c>
      <c r="F89">
        <v>10</v>
      </c>
      <c r="G89" t="str">
        <v>S</v>
      </c>
      <c r="H89">
        <v>8.75</v>
      </c>
      <c r="I89">
        <v>1</v>
      </c>
      <c r="J89">
        <v>1</v>
      </c>
    </row>
    <row r="90" spans="1:10" x14ac:dyDescent="0.35">
      <c r="A90">
        <v>418</v>
      </c>
      <c r="B90" t="str">
        <v>No</v>
      </c>
      <c r="C90" t="str">
        <v>No</v>
      </c>
      <c r="D90" t="str">
        <v>No</v>
      </c>
      <c r="E90" t="str">
        <v>Unrestricted</v>
      </c>
      <c r="F90">
        <v>50</v>
      </c>
      <c r="G90" t="str">
        <v>HS</v>
      </c>
      <c r="H90">
        <v>50</v>
      </c>
      <c r="I90">
        <v>1</v>
      </c>
      <c r="J90">
        <v>1</v>
      </c>
    </row>
    <row r="91" spans="1:10" x14ac:dyDescent="0.35">
      <c r="A91">
        <v>552</v>
      </c>
      <c r="B91" t="str">
        <v>No</v>
      </c>
      <c r="C91" t="str">
        <v>No</v>
      </c>
      <c r="D91" t="str">
        <v>No</v>
      </c>
      <c r="E91" t="str">
        <v>No</v>
      </c>
      <c r="F91">
        <v>0</v>
      </c>
      <c r="G91" t="str">
        <v>HR</v>
      </c>
      <c r="H91">
        <v>0</v>
      </c>
      <c r="I91">
        <v>0</v>
      </c>
      <c r="J91">
        <v>0</v>
      </c>
    </row>
    <row r="92" spans="1:10" x14ac:dyDescent="0.35">
      <c r="A92">
        <v>399</v>
      </c>
      <c r="B92" t="str">
        <v>No</v>
      </c>
      <c r="C92" t="str">
        <v>No</v>
      </c>
      <c r="D92" t="str">
        <v>No</v>
      </c>
      <c r="E92" t="str">
        <v>No</v>
      </c>
      <c r="F92">
        <v>0</v>
      </c>
      <c r="G92" t="str">
        <v>HR</v>
      </c>
      <c r="H92">
        <v>0</v>
      </c>
      <c r="I92">
        <v>0</v>
      </c>
      <c r="J92">
        <v>0</v>
      </c>
    </row>
    <row r="93" spans="1:10" x14ac:dyDescent="0.35">
      <c r="A93">
        <v>152</v>
      </c>
      <c r="B93" t="str">
        <v>No</v>
      </c>
      <c r="C93" t="str">
        <v>Yes</v>
      </c>
      <c r="D93" t="str">
        <v>Yes</v>
      </c>
      <c r="E93" t="str">
        <v>Unrestricted</v>
      </c>
      <c r="F93">
        <v>90</v>
      </c>
      <c r="G93" t="str">
        <v>S</v>
      </c>
      <c r="H93">
        <v>78.75</v>
      </c>
      <c r="I93">
        <v>1</v>
      </c>
      <c r="J93">
        <v>1</v>
      </c>
    </row>
    <row r="94" spans="1:10" x14ac:dyDescent="0.35">
      <c r="A94">
        <v>5</v>
      </c>
      <c r="B94" t="str">
        <v>No</v>
      </c>
      <c r="C94" t="str">
        <v>No</v>
      </c>
      <c r="D94" t="str">
        <v>No</v>
      </c>
      <c r="E94" t="str">
        <v>No</v>
      </c>
      <c r="F94">
        <v>0</v>
      </c>
      <c r="G94" t="str">
        <v>HR</v>
      </c>
      <c r="H94">
        <v>0</v>
      </c>
      <c r="I94">
        <v>0</v>
      </c>
      <c r="J94">
        <v>0</v>
      </c>
    </row>
    <row r="95" spans="1:10" x14ac:dyDescent="0.35">
      <c r="A95">
        <v>310</v>
      </c>
      <c r="B95" t="str">
        <v>No</v>
      </c>
      <c r="C95" t="str">
        <v>No</v>
      </c>
      <c r="D95" t="str">
        <v>No</v>
      </c>
      <c r="E95" t="str">
        <v>No</v>
      </c>
      <c r="F95">
        <v>0</v>
      </c>
      <c r="G95" t="str">
        <v>HR</v>
      </c>
      <c r="H95">
        <v>0</v>
      </c>
      <c r="I95">
        <v>0</v>
      </c>
      <c r="J95">
        <v>0</v>
      </c>
    </row>
    <row r="96" spans="1:10" x14ac:dyDescent="0.35">
      <c r="A96">
        <v>6</v>
      </c>
      <c r="B96" t="str">
        <v>No</v>
      </c>
      <c r="C96" t="str">
        <v>No</v>
      </c>
      <c r="D96" t="str">
        <v>No</v>
      </c>
      <c r="E96" t="str">
        <v>No</v>
      </c>
      <c r="F96">
        <v>0</v>
      </c>
      <c r="G96" t="str">
        <v>HR</v>
      </c>
      <c r="H96">
        <v>0</v>
      </c>
      <c r="I96">
        <v>0</v>
      </c>
      <c r="J96">
        <v>0</v>
      </c>
    </row>
    <row r="97" spans="1:10" x14ac:dyDescent="0.35">
      <c r="A97">
        <v>176</v>
      </c>
      <c r="B97" t="str">
        <v>No</v>
      </c>
      <c r="C97" t="str">
        <v>No</v>
      </c>
      <c r="D97" t="str">
        <v>No</v>
      </c>
      <c r="E97" t="str">
        <v>No</v>
      </c>
      <c r="F97">
        <v>0</v>
      </c>
      <c r="G97" t="str">
        <v>HR</v>
      </c>
      <c r="H97">
        <v>0</v>
      </c>
      <c r="I97">
        <v>0</v>
      </c>
      <c r="J97">
        <v>0</v>
      </c>
    </row>
    <row r="98" spans="1:10" x14ac:dyDescent="0.35">
      <c r="A98">
        <v>158</v>
      </c>
      <c r="B98" t="str">
        <v>No</v>
      </c>
      <c r="C98" t="str">
        <v>Yes</v>
      </c>
      <c r="D98" t="str">
        <v>Yes</v>
      </c>
      <c r="E98" t="str">
        <v>Unrestricted</v>
      </c>
      <c r="F98">
        <v>40</v>
      </c>
      <c r="G98" t="str">
        <v>S</v>
      </c>
      <c r="H98">
        <v>35</v>
      </c>
      <c r="I98">
        <v>1</v>
      </c>
      <c r="J98">
        <v>1</v>
      </c>
    </row>
    <row r="99" spans="1:10" x14ac:dyDescent="0.35">
      <c r="A99">
        <v>550</v>
      </c>
      <c r="B99" t="str">
        <v>No</v>
      </c>
      <c r="C99" t="str">
        <v>No</v>
      </c>
      <c r="D99" t="str">
        <v>No</v>
      </c>
      <c r="E99" t="str">
        <v>No</v>
      </c>
      <c r="F99">
        <v>0</v>
      </c>
      <c r="G99" t="str">
        <v>HR</v>
      </c>
      <c r="H99">
        <v>0</v>
      </c>
      <c r="I99">
        <v>0</v>
      </c>
      <c r="J99">
        <v>0</v>
      </c>
    </row>
    <row r="100" spans="1:10" x14ac:dyDescent="0.35">
      <c r="A100">
        <v>704</v>
      </c>
      <c r="B100" t="str">
        <v>No</v>
      </c>
      <c r="C100" t="str">
        <v>No</v>
      </c>
      <c r="D100" t="str">
        <v>No</v>
      </c>
      <c r="E100" t="str">
        <v>No</v>
      </c>
      <c r="F100">
        <v>0</v>
      </c>
      <c r="G100" t="str">
        <v>HR</v>
      </c>
      <c r="H100">
        <v>0</v>
      </c>
      <c r="I100">
        <v>0</v>
      </c>
      <c r="J100">
        <v>0</v>
      </c>
    </row>
    <row r="101" spans="1:10" x14ac:dyDescent="0.35">
      <c r="A101">
        <v>99</v>
      </c>
      <c r="B101" t="str">
        <v>No</v>
      </c>
      <c r="C101" t="str">
        <v>Yes</v>
      </c>
      <c r="D101" t="str">
        <v>No</v>
      </c>
      <c r="E101" t="str">
        <v>Restricted</v>
      </c>
      <c r="F101">
        <v>5</v>
      </c>
      <c r="G101" t="str">
        <v>MRMS</v>
      </c>
      <c r="H101">
        <v>2.5</v>
      </c>
      <c r="I101">
        <v>0</v>
      </c>
      <c r="J101">
        <v>0</v>
      </c>
    </row>
    <row r="102" spans="1:10" x14ac:dyDescent="0.35">
      <c r="A102">
        <v>349</v>
      </c>
      <c r="B102" t="str">
        <v>Yes</v>
      </c>
      <c r="C102" t="str">
        <v>Yes</v>
      </c>
      <c r="D102" t="str">
        <v>Yes</v>
      </c>
      <c r="E102" t="str">
        <v>Unrestricted</v>
      </c>
      <c r="F102">
        <v>40</v>
      </c>
      <c r="G102" t="str">
        <v>HS</v>
      </c>
      <c r="H102">
        <v>40</v>
      </c>
      <c r="I102">
        <v>1</v>
      </c>
      <c r="J102">
        <v>1</v>
      </c>
    </row>
    <row r="103" spans="1:10" x14ac:dyDescent="0.35">
      <c r="A103">
        <v>303</v>
      </c>
      <c r="B103" t="str">
        <v>Yes</v>
      </c>
      <c r="C103" t="str">
        <v>No</v>
      </c>
      <c r="D103" t="str">
        <v>No</v>
      </c>
      <c r="E103" t="str">
        <v>No</v>
      </c>
      <c r="F103">
        <v>5</v>
      </c>
      <c r="G103" t="str">
        <v>R</v>
      </c>
      <c r="H103">
        <v>1.25</v>
      </c>
      <c r="I103">
        <v>0</v>
      </c>
      <c r="J103">
        <v>0</v>
      </c>
    </row>
    <row r="104" spans="1:10" x14ac:dyDescent="0.35">
      <c r="A104">
        <v>330</v>
      </c>
      <c r="B104" t="str">
        <v>Yes</v>
      </c>
      <c r="C104" t="str">
        <v>Yes</v>
      </c>
      <c r="D104" t="str">
        <v>No</v>
      </c>
      <c r="E104" t="str">
        <v>No</v>
      </c>
      <c r="F104">
        <v>5</v>
      </c>
      <c r="G104" t="str">
        <v>R</v>
      </c>
      <c r="H104">
        <v>1.25</v>
      </c>
      <c r="I104">
        <v>0</v>
      </c>
      <c r="J104">
        <v>0</v>
      </c>
    </row>
    <row r="105" spans="1:10" x14ac:dyDescent="0.35">
      <c r="A105">
        <v>696</v>
      </c>
      <c r="B105" t="str">
        <v>Yes</v>
      </c>
      <c r="C105" t="str">
        <v>Yes</v>
      </c>
      <c r="D105" t="str">
        <v>No</v>
      </c>
      <c r="E105" t="str">
        <v>No</v>
      </c>
      <c r="F105">
        <v>10</v>
      </c>
      <c r="G105" t="str">
        <v>R</v>
      </c>
      <c r="H105">
        <v>2.5</v>
      </c>
      <c r="I105">
        <v>0</v>
      </c>
      <c r="J105">
        <v>0</v>
      </c>
    </row>
    <row r="106" spans="1:10" x14ac:dyDescent="0.35">
      <c r="A106">
        <v>458</v>
      </c>
      <c r="B106" t="str">
        <v>Yes</v>
      </c>
      <c r="C106" t="str">
        <v>Yes</v>
      </c>
      <c r="D106" t="str">
        <v>Yes</v>
      </c>
      <c r="E106" t="str">
        <v>Mix</v>
      </c>
      <c r="F106">
        <v>20</v>
      </c>
      <c r="G106" t="str">
        <v>MS</v>
      </c>
      <c r="H106">
        <v>15</v>
      </c>
      <c r="I106">
        <v>0</v>
      </c>
      <c r="J106">
        <v>1</v>
      </c>
    </row>
    <row r="107" spans="1:10" x14ac:dyDescent="0.35">
      <c r="A107">
        <v>472</v>
      </c>
      <c r="B107" t="str">
        <v>No</v>
      </c>
      <c r="C107" t="str">
        <v>Yes</v>
      </c>
      <c r="D107" t="str">
        <v>No</v>
      </c>
      <c r="E107" t="str">
        <v>Restricted</v>
      </c>
      <c r="F107">
        <v>5</v>
      </c>
      <c r="G107" t="str">
        <v>MRMS</v>
      </c>
      <c r="H107">
        <v>2.5</v>
      </c>
      <c r="I107">
        <v>0</v>
      </c>
      <c r="J107">
        <v>0</v>
      </c>
    </row>
    <row r="108" spans="1:10" x14ac:dyDescent="0.35">
      <c r="A108">
        <v>2</v>
      </c>
      <c r="B108" t="str">
        <v>No</v>
      </c>
      <c r="C108" t="str">
        <v>Yes</v>
      </c>
      <c r="D108" t="str">
        <v>No</v>
      </c>
      <c r="E108" t="str">
        <v>No</v>
      </c>
      <c r="F108">
        <v>5</v>
      </c>
      <c r="G108" t="str">
        <v>R</v>
      </c>
      <c r="H108">
        <v>1.25</v>
      </c>
      <c r="I108">
        <v>0</v>
      </c>
      <c r="J108">
        <v>0</v>
      </c>
    </row>
    <row r="109" spans="1:10" x14ac:dyDescent="0.35">
      <c r="A109">
        <v>477</v>
      </c>
      <c r="B109" t="str">
        <v>No</v>
      </c>
      <c r="C109" t="str">
        <v>No</v>
      </c>
      <c r="D109" t="str">
        <v>No</v>
      </c>
      <c r="E109" t="str">
        <v>No</v>
      </c>
      <c r="F109">
        <v>0</v>
      </c>
      <c r="G109" t="str">
        <v>HR</v>
      </c>
      <c r="H109">
        <v>0</v>
      </c>
      <c r="I109">
        <v>0</v>
      </c>
      <c r="J109">
        <v>0</v>
      </c>
    </row>
    <row r="110" spans="1:10" x14ac:dyDescent="0.35">
      <c r="A110">
        <v>531</v>
      </c>
      <c r="B110" t="str">
        <v>No</v>
      </c>
      <c r="C110" t="str">
        <v>No</v>
      </c>
      <c r="D110" t="str">
        <v>No</v>
      </c>
      <c r="E110" t="str">
        <v>No</v>
      </c>
      <c r="F110">
        <v>0</v>
      </c>
      <c r="G110" t="str">
        <v>HR</v>
      </c>
      <c r="H110">
        <v>0</v>
      </c>
      <c r="I110">
        <v>0</v>
      </c>
      <c r="J110">
        <v>0</v>
      </c>
    </row>
    <row r="111" spans="1:10" x14ac:dyDescent="0.35">
      <c r="A111">
        <v>45</v>
      </c>
      <c r="B111" t="str">
        <v>Yes</v>
      </c>
      <c r="C111" t="str">
        <v>Yes</v>
      </c>
      <c r="D111" t="str">
        <v>Yes</v>
      </c>
      <c r="E111" t="str">
        <v>No</v>
      </c>
      <c r="F111">
        <v>10</v>
      </c>
      <c r="G111" t="str">
        <v>R</v>
      </c>
      <c r="H111">
        <v>2.5</v>
      </c>
      <c r="I111">
        <v>0</v>
      </c>
      <c r="J111">
        <v>0</v>
      </c>
    </row>
    <row r="112" spans="1:10" x14ac:dyDescent="0.35">
      <c r="A112">
        <v>232</v>
      </c>
      <c r="B112" t="str">
        <v>Yes</v>
      </c>
      <c r="C112" t="str">
        <v>No</v>
      </c>
      <c r="D112" t="str">
        <v>No</v>
      </c>
      <c r="E112" t="str">
        <v>No</v>
      </c>
      <c r="F112">
        <v>5</v>
      </c>
      <c r="G112" t="str">
        <v>R</v>
      </c>
      <c r="H112">
        <v>1.25</v>
      </c>
      <c r="I112">
        <v>0</v>
      </c>
      <c r="J112">
        <v>0</v>
      </c>
    </row>
    <row r="113" spans="1:10" x14ac:dyDescent="0.35">
      <c r="A113">
        <v>50</v>
      </c>
      <c r="B113" t="str">
        <v>Yes</v>
      </c>
      <c r="C113" t="str">
        <v>No</v>
      </c>
      <c r="D113" t="str">
        <v>No</v>
      </c>
      <c r="E113" t="str">
        <v>No</v>
      </c>
      <c r="F113">
        <v>5</v>
      </c>
      <c r="G113" t="str">
        <v>R</v>
      </c>
      <c r="H113">
        <v>1.25</v>
      </c>
      <c r="I113">
        <v>0</v>
      </c>
      <c r="J113">
        <v>0</v>
      </c>
    </row>
    <row r="114" spans="1:10" x14ac:dyDescent="0.35">
      <c r="A114">
        <v>104</v>
      </c>
      <c r="B114" t="str">
        <v>No</v>
      </c>
      <c r="C114" t="str">
        <v>Yes</v>
      </c>
      <c r="D114" t="str">
        <v>Yes</v>
      </c>
      <c r="E114" t="str">
        <v>Unrestricted</v>
      </c>
      <c r="F114">
        <v>40</v>
      </c>
      <c r="G114" t="str">
        <v>S</v>
      </c>
      <c r="H114">
        <v>35</v>
      </c>
      <c r="I114">
        <v>1</v>
      </c>
      <c r="J114">
        <v>1</v>
      </c>
    </row>
    <row r="115" spans="1:10" x14ac:dyDescent="0.35">
      <c r="A115">
        <v>566</v>
      </c>
      <c r="B115" t="str">
        <v>No</v>
      </c>
      <c r="C115" t="str">
        <v>No</v>
      </c>
      <c r="D115" t="str">
        <v>No</v>
      </c>
      <c r="E115" t="str">
        <v>No</v>
      </c>
      <c r="F115">
        <v>0</v>
      </c>
      <c r="G115" t="str">
        <v>HR</v>
      </c>
      <c r="H115">
        <v>0</v>
      </c>
      <c r="I115">
        <v>0</v>
      </c>
      <c r="J115">
        <v>0</v>
      </c>
    </row>
    <row r="116" spans="1:10" x14ac:dyDescent="0.35">
      <c r="A116">
        <v>403</v>
      </c>
      <c r="B116" t="str">
        <v>No</v>
      </c>
      <c r="C116" t="str">
        <v>Yes</v>
      </c>
      <c r="D116" t="str">
        <v>Yes</v>
      </c>
      <c r="E116" t="str">
        <v>Mix</v>
      </c>
      <c r="F116">
        <v>25</v>
      </c>
      <c r="G116" t="str">
        <v>MS</v>
      </c>
      <c r="H116">
        <v>18.75</v>
      </c>
      <c r="I116">
        <v>0</v>
      </c>
      <c r="J116">
        <v>1</v>
      </c>
    </row>
    <row r="117" spans="1:10" x14ac:dyDescent="0.35">
      <c r="A117">
        <v>153</v>
      </c>
      <c r="B117" t="str">
        <v>No</v>
      </c>
      <c r="C117" t="str">
        <v>No</v>
      </c>
      <c r="D117" t="str">
        <v>No</v>
      </c>
      <c r="E117" t="str">
        <v>No</v>
      </c>
      <c r="F117">
        <v>0</v>
      </c>
      <c r="G117" t="str">
        <v>HR</v>
      </c>
      <c r="H117">
        <v>0</v>
      </c>
      <c r="I117">
        <v>0</v>
      </c>
      <c r="J117">
        <v>0</v>
      </c>
    </row>
    <row r="118" spans="1:10" x14ac:dyDescent="0.35">
      <c r="A118">
        <v>49</v>
      </c>
      <c r="B118" t="str">
        <v>No</v>
      </c>
      <c r="C118" t="str">
        <v>No</v>
      </c>
      <c r="D118" t="str">
        <v>No</v>
      </c>
      <c r="E118" t="str">
        <v>No</v>
      </c>
      <c r="F118">
        <v>0</v>
      </c>
      <c r="G118" t="str">
        <v>HR</v>
      </c>
      <c r="H118">
        <v>0</v>
      </c>
      <c r="I118">
        <v>0</v>
      </c>
      <c r="J118">
        <v>0</v>
      </c>
    </row>
    <row r="119" spans="1:10" x14ac:dyDescent="0.35">
      <c r="A119">
        <v>474</v>
      </c>
      <c r="B119" t="str">
        <v>No</v>
      </c>
      <c r="C119" t="str">
        <v>No</v>
      </c>
      <c r="D119" t="str">
        <v>No</v>
      </c>
      <c r="E119" t="str">
        <v>No</v>
      </c>
      <c r="F119">
        <v>0</v>
      </c>
      <c r="G119" t="str">
        <v>HR</v>
      </c>
      <c r="H119">
        <v>0</v>
      </c>
      <c r="I119">
        <v>0</v>
      </c>
      <c r="J119">
        <v>0</v>
      </c>
    </row>
    <row r="120" spans="1:10" x14ac:dyDescent="0.35">
      <c r="A120">
        <v>214</v>
      </c>
      <c r="B120" t="str">
        <v>No</v>
      </c>
      <c r="C120" t="str">
        <v>Yes</v>
      </c>
      <c r="D120" t="str">
        <v>No</v>
      </c>
      <c r="E120" t="str">
        <v>Unrestricted</v>
      </c>
      <c r="F120">
        <v>80</v>
      </c>
      <c r="G120" t="str">
        <v>S</v>
      </c>
      <c r="H120">
        <v>70</v>
      </c>
      <c r="I120">
        <v>1</v>
      </c>
      <c r="J120">
        <v>1</v>
      </c>
    </row>
    <row r="121" spans="1:10" x14ac:dyDescent="0.35">
      <c r="A121">
        <v>365</v>
      </c>
      <c r="B121" t="str">
        <v>No</v>
      </c>
      <c r="C121" t="str">
        <v>No</v>
      </c>
      <c r="D121" t="str">
        <v>No</v>
      </c>
      <c r="E121" t="str">
        <v>No</v>
      </c>
      <c r="F121">
        <v>0</v>
      </c>
      <c r="G121" t="str">
        <v>HR</v>
      </c>
      <c r="H121">
        <v>0</v>
      </c>
      <c r="I121">
        <v>0</v>
      </c>
      <c r="J121">
        <v>0</v>
      </c>
    </row>
    <row r="122" spans="1:10" x14ac:dyDescent="0.35">
      <c r="A122">
        <v>369</v>
      </c>
      <c r="B122" t="str">
        <v>No</v>
      </c>
      <c r="C122" t="str">
        <v>No</v>
      </c>
      <c r="D122" t="str">
        <v>No</v>
      </c>
      <c r="E122" t="str">
        <v>No</v>
      </c>
      <c r="F122">
        <v>0</v>
      </c>
      <c r="G122" t="str">
        <v>HR</v>
      </c>
      <c r="H122">
        <v>0</v>
      </c>
      <c r="I122">
        <v>0</v>
      </c>
      <c r="J122">
        <v>0</v>
      </c>
    </row>
    <row r="123" spans="1:10" x14ac:dyDescent="0.35">
      <c r="A123">
        <v>361</v>
      </c>
      <c r="B123" t="str">
        <v>No</v>
      </c>
      <c r="C123" t="str">
        <v>No</v>
      </c>
      <c r="D123" t="str">
        <v>No</v>
      </c>
      <c r="E123" t="str">
        <v>No</v>
      </c>
      <c r="F123">
        <v>0</v>
      </c>
      <c r="G123" t="str">
        <v>HR</v>
      </c>
      <c r="H123">
        <v>0</v>
      </c>
      <c r="I123">
        <v>0</v>
      </c>
      <c r="J123">
        <v>0</v>
      </c>
    </row>
    <row r="124" spans="1:10" x14ac:dyDescent="0.35">
      <c r="A124">
        <v>367</v>
      </c>
      <c r="B124" t="str">
        <v>No</v>
      </c>
      <c r="C124" t="str">
        <v>Yes</v>
      </c>
      <c r="D124" t="str">
        <v>Yes</v>
      </c>
      <c r="E124" t="str">
        <v>Mix</v>
      </c>
      <c r="F124">
        <v>20</v>
      </c>
      <c r="G124" t="str">
        <v>S</v>
      </c>
      <c r="H124">
        <v>17.5</v>
      </c>
      <c r="I124">
        <v>1</v>
      </c>
      <c r="J124">
        <v>1</v>
      </c>
    </row>
    <row r="125" spans="1:10" x14ac:dyDescent="0.35">
      <c r="A125">
        <v>746</v>
      </c>
      <c r="B125" t="str">
        <v>No</v>
      </c>
      <c r="C125" t="str">
        <v>No</v>
      </c>
      <c r="D125" t="str">
        <v>No</v>
      </c>
      <c r="E125" t="str">
        <v>No</v>
      </c>
      <c r="F125">
        <v>0</v>
      </c>
      <c r="G125" t="str">
        <v>HR</v>
      </c>
      <c r="H125">
        <v>0</v>
      </c>
      <c r="I125">
        <v>0</v>
      </c>
      <c r="J125">
        <v>0</v>
      </c>
    </row>
    <row r="126" spans="1:10" x14ac:dyDescent="0.35">
      <c r="A126">
        <v>362</v>
      </c>
      <c r="B126" t="str">
        <v>No</v>
      </c>
      <c r="C126" t="str">
        <v>No</v>
      </c>
      <c r="D126" t="str">
        <v>No</v>
      </c>
      <c r="E126" t="str">
        <v>No</v>
      </c>
      <c r="F126">
        <v>0</v>
      </c>
      <c r="G126" t="str">
        <v>HR</v>
      </c>
      <c r="H126">
        <v>0</v>
      </c>
      <c r="I126">
        <v>0</v>
      </c>
      <c r="J126">
        <v>0</v>
      </c>
    </row>
    <row r="127" spans="1:10" x14ac:dyDescent="0.35">
      <c r="A127">
        <v>308</v>
      </c>
      <c r="B127" t="str">
        <v>No</v>
      </c>
      <c r="C127" t="str">
        <v>No</v>
      </c>
      <c r="D127" t="str">
        <v>No</v>
      </c>
      <c r="E127" t="str">
        <v>No</v>
      </c>
      <c r="F127">
        <v>0</v>
      </c>
      <c r="G127" t="str">
        <v>HR</v>
      </c>
      <c r="H127">
        <v>0</v>
      </c>
      <c r="I127">
        <v>0</v>
      </c>
      <c r="J127">
        <v>0</v>
      </c>
    </row>
    <row r="128" spans="1:10" x14ac:dyDescent="0.35">
      <c r="A128">
        <v>471</v>
      </c>
      <c r="B128" t="str">
        <v>No</v>
      </c>
      <c r="C128" t="str">
        <v>Yes</v>
      </c>
      <c r="D128" t="str">
        <v>No</v>
      </c>
      <c r="E128" t="str">
        <v>Restricted</v>
      </c>
      <c r="F128">
        <v>15</v>
      </c>
      <c r="G128" t="str">
        <v>MRMS</v>
      </c>
      <c r="H128">
        <v>7.5</v>
      </c>
      <c r="I128">
        <v>0</v>
      </c>
      <c r="J128">
        <v>0</v>
      </c>
    </row>
    <row r="129" spans="1:10" x14ac:dyDescent="0.35">
      <c r="A129">
        <v>596</v>
      </c>
      <c r="B129" t="str">
        <v>No</v>
      </c>
      <c r="C129" t="str">
        <v>No</v>
      </c>
      <c r="D129" t="str">
        <v>No</v>
      </c>
      <c r="E129" t="str">
        <v>No</v>
      </c>
      <c r="F129">
        <v>0</v>
      </c>
      <c r="G129" t="str">
        <v>HR</v>
      </c>
      <c r="H129">
        <v>0</v>
      </c>
      <c r="I129">
        <v>0</v>
      </c>
      <c r="J129">
        <v>0</v>
      </c>
    </row>
    <row r="130" spans="1:10" x14ac:dyDescent="0.35">
      <c r="A130">
        <v>48</v>
      </c>
      <c r="B130" t="str">
        <v>No</v>
      </c>
      <c r="C130" t="str">
        <v>Yes</v>
      </c>
      <c r="D130" t="str">
        <v>No</v>
      </c>
      <c r="E130" t="str">
        <v>Restricted</v>
      </c>
      <c r="F130">
        <v>10</v>
      </c>
      <c r="G130" t="str">
        <v>MRMS</v>
      </c>
      <c r="H130">
        <v>5</v>
      </c>
      <c r="I130">
        <v>0</v>
      </c>
      <c r="J130">
        <v>0</v>
      </c>
    </row>
    <row r="131" spans="1:10" x14ac:dyDescent="0.35">
      <c r="A131">
        <v>516</v>
      </c>
      <c r="B131" t="str">
        <v>No</v>
      </c>
      <c r="C131" t="str">
        <v>No</v>
      </c>
      <c r="D131" t="str">
        <v>No</v>
      </c>
      <c r="E131" t="str">
        <v>No</v>
      </c>
      <c r="F131">
        <v>0</v>
      </c>
      <c r="G131" t="str">
        <v>HR</v>
      </c>
      <c r="H131">
        <v>0</v>
      </c>
      <c r="I131">
        <v>0</v>
      </c>
      <c r="J131">
        <v>0</v>
      </c>
    </row>
    <row r="132" spans="1:10" x14ac:dyDescent="0.35">
      <c r="A132">
        <v>511</v>
      </c>
      <c r="B132" t="str">
        <v>No</v>
      </c>
      <c r="C132" t="str">
        <v>No</v>
      </c>
      <c r="D132" t="str">
        <v>No</v>
      </c>
      <c r="E132" t="str">
        <v>No</v>
      </c>
      <c r="F132">
        <v>0</v>
      </c>
      <c r="G132" t="str">
        <v>HR</v>
      </c>
      <c r="H132">
        <v>0</v>
      </c>
      <c r="I132">
        <v>0</v>
      </c>
      <c r="J132">
        <v>0</v>
      </c>
    </row>
    <row r="133" spans="1:10" x14ac:dyDescent="0.35">
      <c r="A133">
        <v>513</v>
      </c>
      <c r="B133" t="str">
        <v>No</v>
      </c>
      <c r="C133" t="str">
        <v>No</v>
      </c>
      <c r="D133" t="str">
        <v>No</v>
      </c>
      <c r="E133" t="str">
        <v>No</v>
      </c>
      <c r="F133">
        <v>0</v>
      </c>
      <c r="G133" t="str">
        <v>HR</v>
      </c>
      <c r="H133">
        <v>0</v>
      </c>
      <c r="I133">
        <v>0</v>
      </c>
      <c r="J133">
        <v>0</v>
      </c>
    </row>
    <row r="134" spans="1:10" x14ac:dyDescent="0.35">
      <c r="A134">
        <v>575</v>
      </c>
      <c r="B134" t="str">
        <v>No</v>
      </c>
      <c r="C134" t="str">
        <v>No</v>
      </c>
      <c r="D134" t="str">
        <v>No</v>
      </c>
      <c r="E134" t="str">
        <v>No</v>
      </c>
      <c r="F134">
        <v>0</v>
      </c>
      <c r="G134" t="str">
        <v>HR</v>
      </c>
      <c r="H134">
        <v>0</v>
      </c>
      <c r="I134">
        <v>0</v>
      </c>
      <c r="J134">
        <v>0</v>
      </c>
    </row>
    <row r="135" spans="1:10" x14ac:dyDescent="0.35">
      <c r="A135">
        <v>213</v>
      </c>
      <c r="B135" t="str">
        <v>No</v>
      </c>
      <c r="C135" t="str">
        <v>No</v>
      </c>
      <c r="D135" t="str">
        <v>No</v>
      </c>
      <c r="E135" t="str">
        <v>No</v>
      </c>
      <c r="F135">
        <v>0</v>
      </c>
      <c r="G135" t="str">
        <v>HR</v>
      </c>
      <c r="H135">
        <v>0</v>
      </c>
      <c r="I135">
        <v>0</v>
      </c>
      <c r="J135">
        <v>0</v>
      </c>
    </row>
    <row r="136" spans="1:10" x14ac:dyDescent="0.35">
      <c r="A136">
        <v>737</v>
      </c>
      <c r="B136" t="str">
        <v>No</v>
      </c>
      <c r="C136" t="str">
        <v>No</v>
      </c>
      <c r="D136" t="str">
        <v>No</v>
      </c>
      <c r="E136" t="str">
        <v>No</v>
      </c>
      <c r="F136">
        <v>0</v>
      </c>
      <c r="G136" t="str">
        <v>HR</v>
      </c>
      <c r="H136">
        <v>0</v>
      </c>
      <c r="I136">
        <v>0</v>
      </c>
      <c r="J136">
        <v>0</v>
      </c>
    </row>
    <row r="137" spans="1:10" x14ac:dyDescent="0.35">
      <c r="A137">
        <v>235</v>
      </c>
      <c r="B137" t="str">
        <v>Yes</v>
      </c>
      <c r="C137" t="str">
        <v>Yes</v>
      </c>
      <c r="D137" t="str">
        <v>No</v>
      </c>
      <c r="E137" t="str">
        <v>Mix</v>
      </c>
      <c r="F137">
        <v>50</v>
      </c>
      <c r="G137" t="str">
        <v>S</v>
      </c>
      <c r="H137">
        <v>43.75</v>
      </c>
      <c r="I137">
        <v>1</v>
      </c>
      <c r="J137">
        <v>1</v>
      </c>
    </row>
    <row r="138" spans="1:10" x14ac:dyDescent="0.35">
      <c r="A138">
        <v>68</v>
      </c>
      <c r="B138" t="str">
        <v>No</v>
      </c>
      <c r="C138" t="str">
        <v>Yes</v>
      </c>
      <c r="D138" t="str">
        <v>No</v>
      </c>
      <c r="E138" t="str">
        <v>No</v>
      </c>
      <c r="F138">
        <v>5</v>
      </c>
      <c r="G138" t="str">
        <v>R</v>
      </c>
      <c r="H138">
        <v>1.25</v>
      </c>
      <c r="I138">
        <v>0</v>
      </c>
      <c r="J138">
        <v>0</v>
      </c>
    </row>
    <row r="139" spans="1:10" x14ac:dyDescent="0.35">
      <c r="A139">
        <v>381</v>
      </c>
      <c r="B139" t="str">
        <v>No</v>
      </c>
      <c r="C139" t="str">
        <v>Yes</v>
      </c>
      <c r="D139" t="str">
        <v>Yes</v>
      </c>
      <c r="E139" t="str">
        <v>Unrestricted</v>
      </c>
      <c r="F139">
        <v>20</v>
      </c>
      <c r="G139" t="str">
        <v>S</v>
      </c>
      <c r="H139">
        <v>17.5</v>
      </c>
      <c r="I139">
        <v>1</v>
      </c>
      <c r="J139">
        <v>1</v>
      </c>
    </row>
    <row r="140" spans="1:10" x14ac:dyDescent="0.35">
      <c r="A140">
        <v>216</v>
      </c>
      <c r="B140" t="str">
        <v>No</v>
      </c>
      <c r="C140" t="str">
        <v>No</v>
      </c>
      <c r="D140" t="str">
        <v>No</v>
      </c>
      <c r="E140" t="str">
        <v>No</v>
      </c>
      <c r="F140">
        <v>0</v>
      </c>
      <c r="G140" t="str">
        <v>HR</v>
      </c>
      <c r="H140">
        <v>0</v>
      </c>
      <c r="I140">
        <v>0</v>
      </c>
      <c r="J140">
        <v>0</v>
      </c>
    </row>
    <row r="141" spans="1:10" x14ac:dyDescent="0.35">
      <c r="A141">
        <v>518</v>
      </c>
      <c r="B141" t="str">
        <v>No</v>
      </c>
      <c r="C141" t="str">
        <v>No</v>
      </c>
      <c r="D141" t="str">
        <v>No</v>
      </c>
      <c r="E141" t="str">
        <v>No</v>
      </c>
      <c r="F141">
        <v>0</v>
      </c>
      <c r="G141" t="str">
        <v>HR</v>
      </c>
      <c r="H141">
        <v>0</v>
      </c>
      <c r="I141">
        <v>0</v>
      </c>
      <c r="J141">
        <v>0</v>
      </c>
    </row>
    <row r="142" spans="1:10" x14ac:dyDescent="0.35">
      <c r="A142">
        <v>455</v>
      </c>
      <c r="B142" t="str">
        <v>No</v>
      </c>
      <c r="C142" t="str">
        <v>Yes</v>
      </c>
      <c r="D142" t="str">
        <v>No</v>
      </c>
      <c r="E142" t="str">
        <v>No</v>
      </c>
      <c r="F142">
        <v>5</v>
      </c>
      <c r="G142" t="str">
        <v>R</v>
      </c>
      <c r="H142">
        <v>1.25</v>
      </c>
      <c r="I142">
        <v>0</v>
      </c>
      <c r="J142">
        <v>0</v>
      </c>
    </row>
    <row r="143" spans="1:10" x14ac:dyDescent="0.35">
      <c r="A143">
        <v>64</v>
      </c>
      <c r="B143" t="str">
        <v>No</v>
      </c>
      <c r="C143" t="str">
        <v>Yes</v>
      </c>
      <c r="D143" t="str">
        <v>No</v>
      </c>
      <c r="E143" t="str">
        <v>No</v>
      </c>
      <c r="F143">
        <v>5</v>
      </c>
      <c r="G143" t="str">
        <v>R</v>
      </c>
      <c r="H143">
        <v>1.25</v>
      </c>
      <c r="I143">
        <v>0</v>
      </c>
      <c r="J143">
        <v>0</v>
      </c>
    </row>
    <row r="144" spans="1:10" x14ac:dyDescent="0.35">
      <c r="A144">
        <v>454</v>
      </c>
      <c r="B144" t="str">
        <v>Yes</v>
      </c>
      <c r="C144" t="str">
        <v>Yes</v>
      </c>
      <c r="D144" t="str">
        <v>Yes</v>
      </c>
      <c r="E144" t="str">
        <v>Mix</v>
      </c>
      <c r="F144">
        <v>10</v>
      </c>
      <c r="G144" t="str">
        <v>MS</v>
      </c>
      <c r="H144">
        <v>7.5</v>
      </c>
      <c r="I144">
        <v>0</v>
      </c>
      <c r="J144">
        <v>1</v>
      </c>
    </row>
    <row r="145" spans="1:10" x14ac:dyDescent="0.35">
      <c r="A145">
        <v>328</v>
      </c>
      <c r="B145" t="str">
        <v>No</v>
      </c>
      <c r="C145" t="str">
        <v>No</v>
      </c>
      <c r="D145" t="str">
        <v>Yes</v>
      </c>
      <c r="E145" t="str">
        <v>Restricted</v>
      </c>
      <c r="F145">
        <v>10</v>
      </c>
      <c r="G145" t="str">
        <v>MRMS</v>
      </c>
      <c r="H145">
        <v>5</v>
      </c>
      <c r="I145">
        <v>0</v>
      </c>
      <c r="J145">
        <v>0</v>
      </c>
    </row>
    <row r="146" spans="1:10" x14ac:dyDescent="0.35">
      <c r="A146">
        <v>480</v>
      </c>
      <c r="B146" t="str">
        <v>Yes</v>
      </c>
      <c r="C146" t="str">
        <v>Yes</v>
      </c>
      <c r="D146" t="str">
        <v>Yes</v>
      </c>
      <c r="E146" t="str">
        <v>Restricted</v>
      </c>
      <c r="F146">
        <v>75</v>
      </c>
      <c r="G146" t="str">
        <v>MRMS</v>
      </c>
      <c r="H146">
        <v>37.5</v>
      </c>
      <c r="I146">
        <v>0</v>
      </c>
      <c r="J146">
        <v>0</v>
      </c>
    </row>
    <row r="147" spans="1:10" x14ac:dyDescent="0.35">
      <c r="A147">
        <v>417</v>
      </c>
      <c r="B147" t="str">
        <v>Yes</v>
      </c>
      <c r="C147" t="str">
        <v>Yes</v>
      </c>
      <c r="D147" t="str">
        <v>Yes</v>
      </c>
      <c r="E147" t="str">
        <v>Unrestricted</v>
      </c>
      <c r="F147">
        <v>20</v>
      </c>
      <c r="G147" t="str">
        <v>S</v>
      </c>
      <c r="H147">
        <v>17.5</v>
      </c>
      <c r="I147">
        <v>1</v>
      </c>
      <c r="J147">
        <v>1</v>
      </c>
    </row>
    <row r="148" spans="1:10" x14ac:dyDescent="0.35">
      <c r="A148">
        <v>743</v>
      </c>
      <c r="B148" t="str">
        <v>Yes</v>
      </c>
      <c r="C148" t="str">
        <v>No</v>
      </c>
      <c r="D148" t="str">
        <v>No</v>
      </c>
      <c r="E148" t="str">
        <v>No</v>
      </c>
      <c r="F148">
        <v>5</v>
      </c>
      <c r="G148" t="str">
        <v>R</v>
      </c>
      <c r="H148">
        <v>1.25</v>
      </c>
      <c r="I148">
        <v>0</v>
      </c>
      <c r="J148">
        <v>0</v>
      </c>
    </row>
    <row r="149" spans="1:10" x14ac:dyDescent="0.35">
      <c r="A149">
        <v>198</v>
      </c>
      <c r="B149" t="str">
        <v>No</v>
      </c>
      <c r="C149" t="str">
        <v>Yes</v>
      </c>
      <c r="D149" t="str">
        <v>No</v>
      </c>
      <c r="E149" t="str">
        <v>Restricted</v>
      </c>
      <c r="F149">
        <v>10</v>
      </c>
      <c r="G149" t="str">
        <v>MRMS</v>
      </c>
      <c r="H149">
        <v>5</v>
      </c>
      <c r="I149">
        <v>0</v>
      </c>
      <c r="J149">
        <v>0</v>
      </c>
    </row>
    <row r="150" spans="1:10" x14ac:dyDescent="0.35">
      <c r="A150">
        <v>681</v>
      </c>
      <c r="B150" t="str">
        <v>No</v>
      </c>
      <c r="C150" t="str">
        <v>No</v>
      </c>
      <c r="D150" t="str">
        <v>No</v>
      </c>
      <c r="E150" t="str">
        <v>No</v>
      </c>
      <c r="F150">
        <v>0</v>
      </c>
      <c r="G150" t="str">
        <v>HR</v>
      </c>
      <c r="H150">
        <v>0</v>
      </c>
      <c r="I150">
        <v>0</v>
      </c>
      <c r="J150">
        <v>0</v>
      </c>
    </row>
    <row r="151" spans="1:10" x14ac:dyDescent="0.35">
      <c r="A151">
        <v>325</v>
      </c>
      <c r="B151" t="str">
        <v>No</v>
      </c>
      <c r="C151" t="str">
        <v>No</v>
      </c>
      <c r="D151" t="str">
        <v>No</v>
      </c>
      <c r="E151" t="str">
        <v>No</v>
      </c>
      <c r="F151">
        <v>0</v>
      </c>
      <c r="G151" t="str">
        <v>HR</v>
      </c>
      <c r="H151">
        <v>0</v>
      </c>
      <c r="I151">
        <v>0</v>
      </c>
      <c r="J151">
        <v>0</v>
      </c>
    </row>
    <row r="152" spans="1:10" x14ac:dyDescent="0.35">
      <c r="A152">
        <v>739</v>
      </c>
      <c r="B152" t="str">
        <v>No</v>
      </c>
      <c r="C152" t="str">
        <v>No</v>
      </c>
      <c r="D152" t="str">
        <v>No</v>
      </c>
      <c r="E152" t="str">
        <v>No</v>
      </c>
      <c r="F152">
        <v>0</v>
      </c>
      <c r="G152" t="str">
        <v>HR</v>
      </c>
      <c r="H152">
        <v>0</v>
      </c>
      <c r="I152">
        <v>0</v>
      </c>
      <c r="J152">
        <v>0</v>
      </c>
    </row>
    <row r="153" spans="1:10" x14ac:dyDescent="0.35">
      <c r="A153">
        <v>479</v>
      </c>
      <c r="B153" t="str">
        <v>No</v>
      </c>
      <c r="C153" t="str">
        <v>No</v>
      </c>
      <c r="D153" t="str">
        <v>No</v>
      </c>
      <c r="E153" t="str">
        <v>No</v>
      </c>
      <c r="F153">
        <v>0</v>
      </c>
      <c r="G153" t="str">
        <v>HR</v>
      </c>
      <c r="H153">
        <v>0</v>
      </c>
      <c r="I153">
        <v>0</v>
      </c>
      <c r="J153">
        <v>0</v>
      </c>
    </row>
    <row r="154" spans="1:10" x14ac:dyDescent="0.35">
      <c r="A154">
        <v>498</v>
      </c>
      <c r="B154" t="str">
        <v>No</v>
      </c>
      <c r="C154" t="str">
        <v>Yes</v>
      </c>
      <c r="D154" t="str">
        <v>Yes</v>
      </c>
      <c r="E154" t="str">
        <v>Restricted</v>
      </c>
      <c r="F154">
        <v>20</v>
      </c>
      <c r="G154" t="str">
        <v>MRMS</v>
      </c>
      <c r="H154">
        <v>10</v>
      </c>
      <c r="I154">
        <v>0</v>
      </c>
      <c r="J154">
        <v>0</v>
      </c>
    </row>
    <row r="155" spans="1:10" x14ac:dyDescent="0.35">
      <c r="A155">
        <v>378</v>
      </c>
      <c r="B155" t="str">
        <v>No</v>
      </c>
      <c r="C155" t="str">
        <v>No</v>
      </c>
      <c r="D155" t="str">
        <v>No</v>
      </c>
      <c r="E155" t="str">
        <v>No</v>
      </c>
      <c r="F155">
        <v>0</v>
      </c>
      <c r="G155" t="str">
        <v>HR</v>
      </c>
      <c r="H155">
        <v>0</v>
      </c>
      <c r="I155">
        <v>0</v>
      </c>
      <c r="J155">
        <v>0</v>
      </c>
    </row>
    <row r="156" spans="1:10" x14ac:dyDescent="0.35">
      <c r="A156">
        <v>29</v>
      </c>
      <c r="B156" t="str">
        <v>No</v>
      </c>
      <c r="C156" t="str">
        <v>No</v>
      </c>
      <c r="D156" t="str">
        <v>No</v>
      </c>
      <c r="E156" t="str">
        <v>No</v>
      </c>
      <c r="F156">
        <v>0</v>
      </c>
      <c r="G156" t="str">
        <v>HR</v>
      </c>
      <c r="H156">
        <v>0</v>
      </c>
      <c r="I156">
        <v>0</v>
      </c>
      <c r="J156">
        <v>0</v>
      </c>
    </row>
    <row r="157" spans="1:10" x14ac:dyDescent="0.35">
      <c r="A157">
        <v>555</v>
      </c>
      <c r="B157" t="str">
        <v>No</v>
      </c>
      <c r="C157" t="str">
        <v>No</v>
      </c>
      <c r="D157" t="str">
        <v>No</v>
      </c>
      <c r="E157" t="str">
        <v>No</v>
      </c>
      <c r="F157">
        <v>0</v>
      </c>
      <c r="G157" t="str">
        <v>HR</v>
      </c>
      <c r="H157">
        <v>0</v>
      </c>
      <c r="I157">
        <v>0</v>
      </c>
      <c r="J157">
        <v>0</v>
      </c>
    </row>
    <row r="158" spans="1:10" x14ac:dyDescent="0.35">
      <c r="A158">
        <v>327</v>
      </c>
      <c r="B158" t="str">
        <v>No</v>
      </c>
      <c r="C158" t="str">
        <v>No</v>
      </c>
      <c r="D158" t="str">
        <v>No</v>
      </c>
      <c r="E158" t="str">
        <v>No</v>
      </c>
      <c r="F158">
        <v>0</v>
      </c>
      <c r="G158" t="str">
        <v>HR</v>
      </c>
      <c r="H158">
        <v>0</v>
      </c>
      <c r="I158">
        <v>0</v>
      </c>
      <c r="J158">
        <v>0</v>
      </c>
    </row>
    <row r="159" spans="1:10" x14ac:dyDescent="0.35">
      <c r="A159">
        <v>443</v>
      </c>
      <c r="B159" t="str">
        <v>No</v>
      </c>
      <c r="C159" t="str">
        <v>Yes</v>
      </c>
      <c r="D159" t="str">
        <v>No</v>
      </c>
      <c r="E159" t="str">
        <v>Restricted</v>
      </c>
      <c r="F159">
        <v>10</v>
      </c>
      <c r="G159" t="str">
        <v>MRMS</v>
      </c>
      <c r="H159">
        <v>5</v>
      </c>
      <c r="I159">
        <v>0</v>
      </c>
      <c r="J159">
        <v>0</v>
      </c>
    </row>
    <row r="160" spans="1:10" x14ac:dyDescent="0.35">
      <c r="A160">
        <v>716</v>
      </c>
      <c r="B160" t="str">
        <v>No</v>
      </c>
      <c r="C160" t="str">
        <v>No</v>
      </c>
      <c r="D160" t="str">
        <v>No</v>
      </c>
      <c r="E160" t="str">
        <v>No</v>
      </c>
      <c r="F160">
        <v>0</v>
      </c>
      <c r="G160" t="str">
        <v>HR</v>
      </c>
      <c r="H160">
        <v>0</v>
      </c>
      <c r="I160">
        <v>0</v>
      </c>
      <c r="J160">
        <v>0</v>
      </c>
    </row>
    <row r="161" spans="1:10" x14ac:dyDescent="0.35">
      <c r="A161">
        <v>370</v>
      </c>
      <c r="B161" t="str">
        <v>No</v>
      </c>
      <c r="C161" t="str">
        <v>No</v>
      </c>
      <c r="D161" t="str">
        <v>No</v>
      </c>
      <c r="E161" t="str">
        <v>No</v>
      </c>
      <c r="F161">
        <v>0</v>
      </c>
      <c r="G161" t="str">
        <v>HR</v>
      </c>
      <c r="H161">
        <v>0</v>
      </c>
      <c r="I161">
        <v>0</v>
      </c>
      <c r="J161">
        <v>0</v>
      </c>
    </row>
    <row r="162" spans="1:10" x14ac:dyDescent="0.35">
      <c r="A162">
        <v>494</v>
      </c>
      <c r="B162" t="str">
        <v>Yes</v>
      </c>
      <c r="C162" t="str">
        <v>No</v>
      </c>
      <c r="D162" t="str">
        <v>No</v>
      </c>
      <c r="E162" t="str">
        <v>No</v>
      </c>
      <c r="F162">
        <v>5</v>
      </c>
      <c r="G162" t="str">
        <v>R</v>
      </c>
      <c r="H162">
        <v>1.25</v>
      </c>
      <c r="I162">
        <v>0</v>
      </c>
      <c r="J162">
        <v>0</v>
      </c>
    </row>
    <row r="163" spans="1:10" x14ac:dyDescent="0.35">
      <c r="A163">
        <v>703</v>
      </c>
      <c r="B163" t="str">
        <v>No</v>
      </c>
      <c r="C163" t="str">
        <v>No</v>
      </c>
      <c r="D163" t="str">
        <v>No</v>
      </c>
      <c r="E163" t="str">
        <v>No</v>
      </c>
      <c r="F163">
        <v>0</v>
      </c>
      <c r="G163" t="str">
        <v>HR</v>
      </c>
      <c r="H163">
        <v>0</v>
      </c>
      <c r="I163">
        <v>0</v>
      </c>
      <c r="J163">
        <v>0</v>
      </c>
    </row>
    <row r="164" spans="1:10" x14ac:dyDescent="0.35">
      <c r="A164">
        <v>25</v>
      </c>
      <c r="B164" t="str">
        <v>No</v>
      </c>
      <c r="C164" t="str">
        <v>Yes</v>
      </c>
      <c r="D164" t="str">
        <v>Yes</v>
      </c>
      <c r="E164" t="str">
        <v>No</v>
      </c>
      <c r="F164">
        <v>10</v>
      </c>
      <c r="G164" t="str">
        <v>R</v>
      </c>
      <c r="H164">
        <v>2.5</v>
      </c>
      <c r="I164">
        <v>0</v>
      </c>
      <c r="J164">
        <v>0</v>
      </c>
    </row>
    <row r="165" spans="1:10" x14ac:dyDescent="0.35">
      <c r="A165">
        <v>151</v>
      </c>
      <c r="B165" t="str">
        <v>No</v>
      </c>
      <c r="C165" t="str">
        <v>Yes</v>
      </c>
      <c r="D165" t="str">
        <v>Yes</v>
      </c>
      <c r="E165" t="str">
        <v>Unrestricted</v>
      </c>
      <c r="F165">
        <v>15</v>
      </c>
      <c r="G165" t="str">
        <v>MS</v>
      </c>
      <c r="H165">
        <v>11.25</v>
      </c>
      <c r="I165">
        <v>0</v>
      </c>
      <c r="J165">
        <v>1</v>
      </c>
    </row>
    <row r="166" spans="1:10" x14ac:dyDescent="0.35">
      <c r="A166">
        <v>139</v>
      </c>
      <c r="B166" t="str">
        <v>No</v>
      </c>
      <c r="C166" t="str">
        <v>Yes</v>
      </c>
      <c r="D166" t="str">
        <v>No</v>
      </c>
      <c r="E166" t="str">
        <v>No</v>
      </c>
      <c r="F166">
        <v>5</v>
      </c>
      <c r="G166" t="str">
        <v>R</v>
      </c>
      <c r="H166">
        <v>1.25</v>
      </c>
      <c r="I166">
        <v>0</v>
      </c>
      <c r="J166">
        <v>0</v>
      </c>
    </row>
    <row r="167" spans="1:10" x14ac:dyDescent="0.35">
      <c r="A167">
        <v>384</v>
      </c>
      <c r="B167" t="str">
        <v>No</v>
      </c>
      <c r="C167" t="str">
        <v>No</v>
      </c>
      <c r="D167" t="str">
        <v>No</v>
      </c>
      <c r="E167" t="str">
        <v>No</v>
      </c>
      <c r="F167">
        <v>0</v>
      </c>
      <c r="G167" t="str">
        <v>HR</v>
      </c>
      <c r="H167">
        <v>0</v>
      </c>
      <c r="I167">
        <v>0</v>
      </c>
      <c r="J167">
        <v>0</v>
      </c>
    </row>
    <row r="168" spans="1:10" x14ac:dyDescent="0.35">
      <c r="A168">
        <v>156</v>
      </c>
      <c r="B168" t="str">
        <v>No</v>
      </c>
      <c r="C168" t="str">
        <v>No</v>
      </c>
      <c r="D168" t="str">
        <v>No</v>
      </c>
      <c r="E168" t="str">
        <v>No</v>
      </c>
      <c r="F168">
        <v>0</v>
      </c>
      <c r="G168" t="str">
        <v>HR</v>
      </c>
      <c r="H168">
        <v>0</v>
      </c>
      <c r="I168">
        <v>0</v>
      </c>
      <c r="J168">
        <v>0</v>
      </c>
    </row>
    <row r="169" spans="1:10" x14ac:dyDescent="0.35">
      <c r="A169">
        <v>193</v>
      </c>
      <c r="B169" t="str">
        <v>No</v>
      </c>
      <c r="C169" t="str">
        <v>Yes</v>
      </c>
      <c r="D169" t="str">
        <v>Yes</v>
      </c>
      <c r="E169" t="str">
        <v>Unrestricted</v>
      </c>
      <c r="F169">
        <v>30</v>
      </c>
      <c r="G169" t="str">
        <v>S</v>
      </c>
      <c r="H169">
        <v>26.25</v>
      </c>
      <c r="I169">
        <v>1</v>
      </c>
      <c r="J169">
        <v>1</v>
      </c>
    </row>
    <row r="170" spans="1:10" x14ac:dyDescent="0.35">
      <c r="A170">
        <v>175</v>
      </c>
      <c r="B170" t="str">
        <v>Yes</v>
      </c>
      <c r="C170" t="str">
        <v>Yes</v>
      </c>
      <c r="D170" t="str">
        <v>Yes</v>
      </c>
      <c r="E170" t="str">
        <v>Unrestricted</v>
      </c>
      <c r="F170">
        <v>20</v>
      </c>
      <c r="G170" t="str">
        <v>S</v>
      </c>
      <c r="H170">
        <v>17.5</v>
      </c>
      <c r="I170">
        <v>1</v>
      </c>
      <c r="J170">
        <v>1</v>
      </c>
    </row>
    <row r="171" spans="1:10" x14ac:dyDescent="0.35">
      <c r="A171">
        <v>343</v>
      </c>
      <c r="B171" t="str">
        <v>No</v>
      </c>
      <c r="C171" t="str">
        <v>No</v>
      </c>
      <c r="D171" t="str">
        <v>No</v>
      </c>
      <c r="E171" t="str">
        <v>No</v>
      </c>
      <c r="F171">
        <v>0</v>
      </c>
      <c r="G171" t="str">
        <v>HR</v>
      </c>
      <c r="H171">
        <v>0</v>
      </c>
      <c r="I171">
        <v>0</v>
      </c>
      <c r="J171">
        <v>0</v>
      </c>
    </row>
    <row r="172" spans="1:10" x14ac:dyDescent="0.35">
      <c r="A172">
        <v>84</v>
      </c>
      <c r="B172" t="str">
        <v>No</v>
      </c>
      <c r="C172" t="str">
        <v>No</v>
      </c>
      <c r="D172" t="str">
        <v>No</v>
      </c>
      <c r="E172" t="str">
        <v>No</v>
      </c>
      <c r="F172">
        <v>0</v>
      </c>
      <c r="G172" t="str">
        <v>HR</v>
      </c>
      <c r="H172">
        <v>0</v>
      </c>
      <c r="I172">
        <v>0</v>
      </c>
      <c r="J172">
        <v>0</v>
      </c>
    </row>
    <row r="173" spans="1:10" x14ac:dyDescent="0.35">
      <c r="A173">
        <v>80</v>
      </c>
      <c r="B173" t="str">
        <v>Yes</v>
      </c>
      <c r="C173" t="str">
        <v>No</v>
      </c>
      <c r="D173" t="str">
        <v>No</v>
      </c>
      <c r="E173" t="str">
        <v>No</v>
      </c>
      <c r="F173">
        <v>5</v>
      </c>
      <c r="G173" t="str">
        <v>R</v>
      </c>
      <c r="H173">
        <v>1.25</v>
      </c>
      <c r="I173">
        <v>0</v>
      </c>
      <c r="J173">
        <v>0</v>
      </c>
    </row>
    <row r="174" spans="1:10" x14ac:dyDescent="0.35">
      <c r="A174">
        <v>527</v>
      </c>
      <c r="B174" t="str">
        <v>No</v>
      </c>
      <c r="C174" t="str">
        <v>No</v>
      </c>
      <c r="D174" t="str">
        <v>No</v>
      </c>
      <c r="E174" t="str">
        <v>No</v>
      </c>
      <c r="F174">
        <v>0</v>
      </c>
      <c r="G174" t="str">
        <v>HR</v>
      </c>
      <c r="H174">
        <v>0</v>
      </c>
      <c r="I174">
        <v>0</v>
      </c>
      <c r="J174">
        <v>0</v>
      </c>
    </row>
    <row r="175" spans="1:10" x14ac:dyDescent="0.35">
      <c r="A175">
        <v>572</v>
      </c>
      <c r="B175" t="str">
        <v>No</v>
      </c>
      <c r="C175" t="str">
        <v>No</v>
      </c>
      <c r="D175" t="str">
        <v>No</v>
      </c>
      <c r="E175" t="str">
        <v>No</v>
      </c>
      <c r="F175">
        <v>0</v>
      </c>
      <c r="G175" t="str">
        <v>HR</v>
      </c>
      <c r="H175">
        <v>0</v>
      </c>
      <c r="I175">
        <v>0</v>
      </c>
      <c r="J175">
        <v>0</v>
      </c>
    </row>
    <row r="176" spans="1:10" x14ac:dyDescent="0.35">
      <c r="A176">
        <v>702</v>
      </c>
      <c r="B176" t="str">
        <v>No</v>
      </c>
      <c r="C176" t="str">
        <v>No</v>
      </c>
      <c r="D176" t="str">
        <v>No</v>
      </c>
      <c r="E176" t="str">
        <v>No</v>
      </c>
      <c r="F176">
        <v>0</v>
      </c>
      <c r="G176" t="str">
        <v>HR</v>
      </c>
      <c r="H176">
        <v>0</v>
      </c>
      <c r="I176">
        <v>0</v>
      </c>
      <c r="J176">
        <v>0</v>
      </c>
    </row>
    <row r="177" spans="1:10" x14ac:dyDescent="0.35">
      <c r="A177">
        <v>530</v>
      </c>
      <c r="B177" t="str">
        <v>No</v>
      </c>
      <c r="C177" t="str">
        <v>No</v>
      </c>
      <c r="D177" t="str">
        <v>No</v>
      </c>
      <c r="E177" t="str">
        <v>No</v>
      </c>
      <c r="F177">
        <v>0</v>
      </c>
      <c r="G177" t="str">
        <v>HR</v>
      </c>
      <c r="H177">
        <v>0</v>
      </c>
      <c r="I177">
        <v>0</v>
      </c>
      <c r="J177">
        <v>0</v>
      </c>
    </row>
    <row r="178" spans="1:10" x14ac:dyDescent="0.35">
      <c r="A178">
        <v>179</v>
      </c>
      <c r="B178" t="str">
        <v>No</v>
      </c>
      <c r="C178" t="str">
        <v>Yes</v>
      </c>
      <c r="D178" t="str">
        <v>Yes</v>
      </c>
      <c r="E178" t="str">
        <v>Mix</v>
      </c>
      <c r="F178">
        <v>10</v>
      </c>
      <c r="G178" t="str">
        <v>S</v>
      </c>
      <c r="H178">
        <v>8.75</v>
      </c>
      <c r="I178">
        <v>1</v>
      </c>
      <c r="J178">
        <v>1</v>
      </c>
    </row>
    <row r="179" spans="1:10" x14ac:dyDescent="0.35">
      <c r="A179">
        <v>717</v>
      </c>
      <c r="B179" t="str">
        <v>No</v>
      </c>
      <c r="C179" t="str">
        <v>No</v>
      </c>
      <c r="D179" t="str">
        <v>No</v>
      </c>
      <c r="E179" t="str">
        <v>No</v>
      </c>
      <c r="F179">
        <v>0</v>
      </c>
      <c r="G179" t="str">
        <v>HR</v>
      </c>
      <c r="H179">
        <v>0</v>
      </c>
      <c r="I179">
        <v>0</v>
      </c>
      <c r="J179">
        <v>0</v>
      </c>
    </row>
    <row r="180" spans="1:10" x14ac:dyDescent="0.35">
      <c r="A180">
        <v>76</v>
      </c>
      <c r="B180" t="str">
        <v>Yes</v>
      </c>
      <c r="C180" t="str">
        <v>Yes</v>
      </c>
      <c r="D180" t="str">
        <v>Yes</v>
      </c>
      <c r="E180" t="str">
        <v>Mix</v>
      </c>
      <c r="F180">
        <v>30</v>
      </c>
      <c r="G180" t="str">
        <v>MS</v>
      </c>
      <c r="H180">
        <v>22.5</v>
      </c>
      <c r="I180">
        <v>0</v>
      </c>
      <c r="J180">
        <v>1</v>
      </c>
    </row>
    <row r="181" spans="1:10" x14ac:dyDescent="0.35">
      <c r="A181">
        <v>4</v>
      </c>
      <c r="B181" t="str">
        <v>No</v>
      </c>
      <c r="C181" t="str">
        <v>No</v>
      </c>
      <c r="D181" t="str">
        <v>No</v>
      </c>
      <c r="E181" t="str">
        <v>No</v>
      </c>
      <c r="F181">
        <v>0</v>
      </c>
      <c r="G181" t="str">
        <v>HR</v>
      </c>
      <c r="H181">
        <v>0</v>
      </c>
      <c r="I181">
        <v>0</v>
      </c>
      <c r="J181">
        <v>0</v>
      </c>
    </row>
    <row r="182" spans="1:10" x14ac:dyDescent="0.35">
      <c r="A182">
        <v>421</v>
      </c>
      <c r="B182" t="str">
        <v>No</v>
      </c>
      <c r="C182" t="str">
        <v>No</v>
      </c>
      <c r="D182" t="str">
        <v>No</v>
      </c>
      <c r="E182" t="str">
        <v>No</v>
      </c>
      <c r="F182">
        <v>0</v>
      </c>
      <c r="G182" t="str">
        <v>HR</v>
      </c>
      <c r="H182">
        <v>0</v>
      </c>
      <c r="I182">
        <v>0</v>
      </c>
      <c r="J182">
        <v>0</v>
      </c>
    </row>
    <row r="183" spans="1:10" x14ac:dyDescent="0.35">
      <c r="A183">
        <v>451</v>
      </c>
      <c r="B183" t="str">
        <v>No</v>
      </c>
      <c r="C183" t="str">
        <v>Yes</v>
      </c>
      <c r="D183" t="str">
        <v>Yes</v>
      </c>
      <c r="E183" t="str">
        <v>Restricted</v>
      </c>
      <c r="F183">
        <v>25</v>
      </c>
      <c r="G183" t="str">
        <v>MRMS</v>
      </c>
      <c r="H183">
        <v>12.5</v>
      </c>
      <c r="I183">
        <v>0</v>
      </c>
      <c r="J183">
        <v>0</v>
      </c>
    </row>
    <row r="184" spans="1:10" x14ac:dyDescent="0.35">
      <c r="A184">
        <v>97</v>
      </c>
      <c r="B184" t="str">
        <v>No</v>
      </c>
      <c r="C184" t="str">
        <v>Yes</v>
      </c>
      <c r="D184" t="str">
        <v>No</v>
      </c>
      <c r="E184" t="str">
        <v>No</v>
      </c>
      <c r="F184">
        <v>5</v>
      </c>
      <c r="G184" t="str">
        <v>R</v>
      </c>
      <c r="H184">
        <v>1.25</v>
      </c>
      <c r="I184">
        <v>0</v>
      </c>
      <c r="J184">
        <v>0</v>
      </c>
    </row>
    <row r="185" spans="1:10" x14ac:dyDescent="0.35">
      <c r="A185">
        <v>473</v>
      </c>
      <c r="B185" t="str">
        <v>No</v>
      </c>
      <c r="C185" t="str">
        <v>Yes</v>
      </c>
      <c r="D185" t="str">
        <v>No</v>
      </c>
      <c r="E185" t="str">
        <v>No</v>
      </c>
      <c r="F185">
        <v>5</v>
      </c>
      <c r="G185" t="str">
        <v>R</v>
      </c>
      <c r="H185">
        <v>1.25</v>
      </c>
      <c r="I185">
        <v>0</v>
      </c>
      <c r="J185">
        <v>0</v>
      </c>
    </row>
    <row r="186" spans="1:10" x14ac:dyDescent="0.35">
      <c r="A186">
        <v>123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 t="e">
        <v>#N/A</v>
      </c>
      <c r="I186">
        <v>0</v>
      </c>
      <c r="J186">
        <v>0</v>
      </c>
    </row>
    <row r="187" spans="1:10" x14ac:dyDescent="0.35">
      <c r="A187">
        <v>229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 t="e">
        <v>#N/A</v>
      </c>
      <c r="I187">
        <v>0</v>
      </c>
      <c r="J187">
        <v>0</v>
      </c>
    </row>
    <row r="188" spans="1:10" x14ac:dyDescent="0.35">
      <c r="A188">
        <v>551</v>
      </c>
      <c r="B188" t="str">
        <v>Yes</v>
      </c>
      <c r="C188" t="str">
        <v>No</v>
      </c>
      <c r="D188" t="str">
        <v>No</v>
      </c>
      <c r="E188" t="str">
        <v>No</v>
      </c>
      <c r="F188">
        <v>5</v>
      </c>
      <c r="G188" t="str">
        <v>R</v>
      </c>
      <c r="H188">
        <v>1.25</v>
      </c>
      <c r="I188">
        <v>0</v>
      </c>
      <c r="J188">
        <v>0</v>
      </c>
    </row>
    <row r="189" spans="1:10" x14ac:dyDescent="0.35">
      <c r="A189">
        <v>607</v>
      </c>
      <c r="B189" t="str">
        <v>Yes</v>
      </c>
      <c r="C189" t="str">
        <v>No</v>
      </c>
      <c r="D189" t="str">
        <v>No</v>
      </c>
      <c r="E189" t="str">
        <v>No</v>
      </c>
      <c r="F189">
        <v>5</v>
      </c>
      <c r="G189" t="str">
        <v>R</v>
      </c>
      <c r="H189">
        <v>1.25</v>
      </c>
      <c r="I189">
        <v>0</v>
      </c>
      <c r="J189">
        <v>0</v>
      </c>
    </row>
    <row r="190" spans="1:10" x14ac:dyDescent="0.35">
      <c r="A190">
        <v>3</v>
      </c>
      <c r="B190" t="str">
        <v>No</v>
      </c>
      <c r="C190" t="str">
        <v>Yes</v>
      </c>
      <c r="D190" t="str">
        <v>No</v>
      </c>
      <c r="E190" t="str">
        <v>No</v>
      </c>
      <c r="F190">
        <v>5</v>
      </c>
      <c r="G190" t="str">
        <v>R</v>
      </c>
      <c r="H190">
        <v>1.25</v>
      </c>
      <c r="I190">
        <v>0</v>
      </c>
      <c r="J190">
        <v>0</v>
      </c>
    </row>
    <row r="191" spans="1:10" x14ac:dyDescent="0.35">
      <c r="A191">
        <v>200</v>
      </c>
      <c r="B191" t="str">
        <v>No</v>
      </c>
      <c r="C191" t="str">
        <v>Yes</v>
      </c>
      <c r="D191" t="str">
        <v>No</v>
      </c>
      <c r="E191" t="str">
        <v>Unrestricted</v>
      </c>
      <c r="F191">
        <v>30</v>
      </c>
      <c r="G191" t="str">
        <v>HS</v>
      </c>
      <c r="H191">
        <v>30</v>
      </c>
      <c r="I191">
        <v>1</v>
      </c>
      <c r="J191">
        <v>1</v>
      </c>
    </row>
    <row r="192" spans="1:10" x14ac:dyDescent="0.35">
      <c r="A192">
        <v>342</v>
      </c>
      <c r="B192" t="str">
        <v>No</v>
      </c>
      <c r="C192" t="str">
        <v>No</v>
      </c>
      <c r="D192" t="str">
        <v>No</v>
      </c>
      <c r="E192" t="str">
        <v>Unrestricted</v>
      </c>
      <c r="F192">
        <v>40</v>
      </c>
      <c r="G192" t="str">
        <v>HS</v>
      </c>
      <c r="H192">
        <v>40</v>
      </c>
      <c r="I192">
        <v>1</v>
      </c>
      <c r="J192">
        <v>1</v>
      </c>
    </row>
    <row r="193" spans="1:10" x14ac:dyDescent="0.35">
      <c r="A193">
        <v>697</v>
      </c>
      <c r="B193" t="str">
        <v>No</v>
      </c>
      <c r="C193" t="str">
        <v>No</v>
      </c>
      <c r="D193" t="str">
        <v>No</v>
      </c>
      <c r="E193" t="str">
        <v>No</v>
      </c>
      <c r="F193">
        <v>0</v>
      </c>
      <c r="G193" t="str">
        <v>HR</v>
      </c>
      <c r="H193">
        <v>0</v>
      </c>
      <c r="I193">
        <v>0</v>
      </c>
      <c r="J193">
        <v>0</v>
      </c>
    </row>
    <row r="194" spans="1:10" x14ac:dyDescent="0.35">
      <c r="A194">
        <v>574</v>
      </c>
      <c r="B194" t="str">
        <v>No</v>
      </c>
      <c r="C194" t="str">
        <v>No</v>
      </c>
      <c r="D194" t="str">
        <v>No</v>
      </c>
      <c r="E194" t="str">
        <v>No</v>
      </c>
      <c r="F194">
        <v>0</v>
      </c>
      <c r="G194" t="str">
        <v>HR</v>
      </c>
      <c r="H194">
        <v>0</v>
      </c>
      <c r="I194">
        <v>0</v>
      </c>
      <c r="J194">
        <v>0</v>
      </c>
    </row>
    <row r="195" spans="1:10" x14ac:dyDescent="0.35">
      <c r="A195">
        <v>682</v>
      </c>
      <c r="B195" t="str">
        <v>No</v>
      </c>
      <c r="C195" t="str">
        <v>No</v>
      </c>
      <c r="D195" t="str">
        <v>No</v>
      </c>
      <c r="E195" t="str">
        <v>No</v>
      </c>
      <c r="F195">
        <v>0</v>
      </c>
      <c r="G195" t="str">
        <v>HR</v>
      </c>
      <c r="H195">
        <v>0</v>
      </c>
      <c r="I195">
        <v>0</v>
      </c>
      <c r="J195">
        <v>0</v>
      </c>
    </row>
    <row r="196" spans="1:10" x14ac:dyDescent="0.35">
      <c r="A196">
        <v>309</v>
      </c>
      <c r="B196" t="str">
        <v>No</v>
      </c>
      <c r="C196" t="str">
        <v>No</v>
      </c>
      <c r="D196" t="str">
        <v>No</v>
      </c>
      <c r="E196" t="str">
        <v>No</v>
      </c>
      <c r="F196">
        <v>0</v>
      </c>
      <c r="G196" t="str">
        <v>HR</v>
      </c>
      <c r="H196">
        <v>0</v>
      </c>
      <c r="I196">
        <v>0</v>
      </c>
      <c r="J196">
        <v>0</v>
      </c>
    </row>
    <row r="197" spans="1:10" x14ac:dyDescent="0.35">
      <c r="A197">
        <v>622</v>
      </c>
      <c r="B197" t="str">
        <v>Yes</v>
      </c>
      <c r="C197" t="str">
        <v>No</v>
      </c>
      <c r="D197" t="str">
        <v>No</v>
      </c>
      <c r="E197" t="str">
        <v>No</v>
      </c>
      <c r="F197">
        <v>5</v>
      </c>
      <c r="G197" t="str">
        <v>R</v>
      </c>
      <c r="H197">
        <v>1.25</v>
      </c>
      <c r="I197">
        <v>0</v>
      </c>
      <c r="J197">
        <v>0</v>
      </c>
    </row>
    <row r="198" spans="1:10" x14ac:dyDescent="0.35">
      <c r="A198">
        <v>26</v>
      </c>
      <c r="B198" t="str">
        <v>Yes</v>
      </c>
      <c r="C198" t="str">
        <v>No</v>
      </c>
      <c r="D198" t="str">
        <v>No</v>
      </c>
      <c r="E198" t="str">
        <v>No</v>
      </c>
      <c r="F198">
        <v>5</v>
      </c>
      <c r="G198" t="str">
        <v>R</v>
      </c>
      <c r="H198">
        <v>1.25</v>
      </c>
      <c r="I198">
        <v>0</v>
      </c>
      <c r="J198">
        <v>0</v>
      </c>
    </row>
    <row r="199" spans="1:10" x14ac:dyDescent="0.35">
      <c r="A199">
        <v>98</v>
      </c>
      <c r="B199" t="str">
        <v>No</v>
      </c>
      <c r="C199" t="str">
        <v>No</v>
      </c>
      <c r="D199" t="str">
        <v>No</v>
      </c>
      <c r="E199" t="str">
        <v>No</v>
      </c>
      <c r="F199">
        <v>0</v>
      </c>
      <c r="G199" t="str">
        <v>HR</v>
      </c>
      <c r="H199">
        <v>0</v>
      </c>
      <c r="I199">
        <v>0</v>
      </c>
      <c r="J199">
        <v>0</v>
      </c>
    </row>
    <row r="200" spans="1:10" x14ac:dyDescent="0.35">
      <c r="A200">
        <v>324</v>
      </c>
      <c r="B200" t="str">
        <v>No</v>
      </c>
      <c r="C200" t="str">
        <v>Yes</v>
      </c>
      <c r="D200" t="str">
        <v>Yes</v>
      </c>
      <c r="E200" t="str">
        <v>Restricted</v>
      </c>
      <c r="F200">
        <v>10</v>
      </c>
      <c r="G200" t="str">
        <v>MRMS</v>
      </c>
      <c r="H200">
        <v>5</v>
      </c>
      <c r="I200">
        <v>0</v>
      </c>
      <c r="J200">
        <v>0</v>
      </c>
    </row>
    <row r="201" spans="1:10" x14ac:dyDescent="0.35">
      <c r="A201">
        <v>41</v>
      </c>
      <c r="B201" t="str">
        <v>Yes</v>
      </c>
      <c r="C201" t="str">
        <v>No</v>
      </c>
      <c r="D201" t="str">
        <v>No</v>
      </c>
      <c r="E201" t="str">
        <v>No</v>
      </c>
      <c r="F201">
        <v>5</v>
      </c>
      <c r="G201" t="str">
        <v>R</v>
      </c>
      <c r="H201">
        <v>1.25</v>
      </c>
      <c r="I201">
        <v>0</v>
      </c>
      <c r="J201">
        <v>0</v>
      </c>
    </row>
    <row r="202" spans="1:10" x14ac:dyDescent="0.35">
      <c r="A202">
        <v>723</v>
      </c>
      <c r="B202" t="str">
        <v>Yes</v>
      </c>
      <c r="C202" t="str">
        <v>No</v>
      </c>
      <c r="D202" t="str">
        <v>No</v>
      </c>
      <c r="E202" t="str">
        <v>No</v>
      </c>
      <c r="F202">
        <v>5</v>
      </c>
      <c r="G202" t="str">
        <v>R</v>
      </c>
      <c r="H202">
        <v>1.25</v>
      </c>
      <c r="I202">
        <v>0</v>
      </c>
      <c r="J202">
        <v>0</v>
      </c>
    </row>
    <row r="203" spans="1:10" x14ac:dyDescent="0.35">
      <c r="A203">
        <v>567</v>
      </c>
      <c r="B203" t="str">
        <v>Yes</v>
      </c>
      <c r="C203" t="str">
        <v>No</v>
      </c>
      <c r="D203" t="str">
        <v>No</v>
      </c>
      <c r="E203" t="str">
        <v>No</v>
      </c>
      <c r="F203">
        <v>5</v>
      </c>
      <c r="G203" t="str">
        <v>R</v>
      </c>
      <c r="H203">
        <v>1.25</v>
      </c>
      <c r="I203">
        <v>0</v>
      </c>
      <c r="J203">
        <v>0</v>
      </c>
    </row>
    <row r="204" spans="1:10" x14ac:dyDescent="0.35">
      <c r="A204">
        <v>497</v>
      </c>
      <c r="B204" t="str">
        <v>No</v>
      </c>
      <c r="C204" t="str">
        <v>No</v>
      </c>
      <c r="D204" t="str">
        <v>No</v>
      </c>
      <c r="E204" t="str">
        <v>No</v>
      </c>
      <c r="F204">
        <v>0</v>
      </c>
      <c r="G204" t="str">
        <v>HR</v>
      </c>
      <c r="H204">
        <v>0</v>
      </c>
      <c r="I204">
        <v>0</v>
      </c>
      <c r="J204">
        <v>0</v>
      </c>
    </row>
    <row r="205" spans="1:10" x14ac:dyDescent="0.35">
      <c r="A205">
        <v>546</v>
      </c>
      <c r="B205" t="str">
        <v>No</v>
      </c>
      <c r="C205" t="str">
        <v>No</v>
      </c>
      <c r="D205" t="str">
        <v>No</v>
      </c>
      <c r="E205" t="str">
        <v>No</v>
      </c>
      <c r="F205">
        <v>0</v>
      </c>
      <c r="G205" t="str">
        <v>HR</v>
      </c>
      <c r="H205">
        <v>0</v>
      </c>
      <c r="I205">
        <v>0</v>
      </c>
      <c r="J205">
        <v>0</v>
      </c>
    </row>
    <row r="206" spans="1:10" x14ac:dyDescent="0.35">
      <c r="A206">
        <v>571</v>
      </c>
      <c r="B206" t="str">
        <v>No</v>
      </c>
      <c r="C206" t="str">
        <v>No</v>
      </c>
      <c r="D206" t="str">
        <v>No</v>
      </c>
      <c r="E206" t="str">
        <v>No</v>
      </c>
      <c r="F206">
        <v>0</v>
      </c>
      <c r="G206" t="str">
        <v>HR</v>
      </c>
      <c r="H206">
        <v>0</v>
      </c>
      <c r="I206">
        <v>0</v>
      </c>
      <c r="J206">
        <v>0</v>
      </c>
    </row>
    <row r="207" spans="1:10" x14ac:dyDescent="0.35">
      <c r="A207">
        <v>535</v>
      </c>
      <c r="B207" t="str">
        <v>No</v>
      </c>
      <c r="C207" t="str">
        <v>No</v>
      </c>
      <c r="D207" t="str">
        <v>No</v>
      </c>
      <c r="E207" t="str">
        <v>No</v>
      </c>
      <c r="F207">
        <v>0</v>
      </c>
      <c r="G207" t="str">
        <v>HR</v>
      </c>
      <c r="H207">
        <v>0</v>
      </c>
      <c r="I207">
        <v>0</v>
      </c>
      <c r="J207">
        <v>0</v>
      </c>
    </row>
    <row r="208" spans="1:10" x14ac:dyDescent="0.35">
      <c r="A208">
        <v>491</v>
      </c>
      <c r="B208" t="str">
        <v>Yes</v>
      </c>
      <c r="C208" t="str">
        <v>Yes</v>
      </c>
      <c r="D208" t="str">
        <v>Yes</v>
      </c>
      <c r="E208" t="str">
        <v>No</v>
      </c>
      <c r="F208">
        <v>10</v>
      </c>
      <c r="G208" t="str">
        <v>R</v>
      </c>
      <c r="H208">
        <v>2.5</v>
      </c>
      <c r="I208">
        <v>0</v>
      </c>
      <c r="J208">
        <v>0</v>
      </c>
    </row>
    <row r="209" spans="1:10" x14ac:dyDescent="0.35">
      <c r="A209">
        <v>680</v>
      </c>
      <c r="B209" t="str">
        <v>Yes</v>
      </c>
      <c r="C209" t="str">
        <v>No</v>
      </c>
      <c r="D209" t="str">
        <v>No</v>
      </c>
      <c r="E209" t="str">
        <v>No</v>
      </c>
      <c r="F209">
        <v>5</v>
      </c>
      <c r="G209" t="str">
        <v>R</v>
      </c>
      <c r="H209">
        <v>1.25</v>
      </c>
      <c r="I209">
        <v>0</v>
      </c>
      <c r="J209">
        <v>0</v>
      </c>
    </row>
    <row r="210" spans="1:10" x14ac:dyDescent="0.35">
      <c r="A210">
        <v>23</v>
      </c>
      <c r="B210" t="str">
        <v>No</v>
      </c>
      <c r="C210" t="str">
        <v>Yes</v>
      </c>
      <c r="D210" t="str">
        <v>No</v>
      </c>
      <c r="E210" t="str">
        <v>No</v>
      </c>
      <c r="F210">
        <v>5</v>
      </c>
      <c r="G210" t="str">
        <v>R</v>
      </c>
      <c r="H210">
        <v>1.25</v>
      </c>
      <c r="I210">
        <v>0</v>
      </c>
      <c r="J210">
        <v>0</v>
      </c>
    </row>
    <row r="211" spans="1:10" x14ac:dyDescent="0.35">
      <c r="A211">
        <v>534</v>
      </c>
      <c r="B211" t="str">
        <v>Yes</v>
      </c>
      <c r="C211" t="str">
        <v>No</v>
      </c>
      <c r="D211" t="str">
        <v>No</v>
      </c>
      <c r="E211" t="str">
        <v>No</v>
      </c>
      <c r="F211">
        <v>5</v>
      </c>
      <c r="G211" t="str">
        <v>R</v>
      </c>
      <c r="H211">
        <v>1.25</v>
      </c>
      <c r="I211">
        <v>0</v>
      </c>
      <c r="J211">
        <v>0</v>
      </c>
    </row>
    <row r="212" spans="1:10" x14ac:dyDescent="0.35">
      <c r="A212">
        <v>701</v>
      </c>
      <c r="B212" t="str">
        <v>No</v>
      </c>
      <c r="C212" t="str">
        <v>No</v>
      </c>
      <c r="D212" t="str">
        <v>No</v>
      </c>
      <c r="E212" t="str">
        <v>No</v>
      </c>
      <c r="F212">
        <v>0</v>
      </c>
      <c r="G212" t="str">
        <v>HR</v>
      </c>
      <c r="H212">
        <v>0</v>
      </c>
      <c r="I212">
        <v>0</v>
      </c>
      <c r="J212">
        <v>0</v>
      </c>
    </row>
    <row r="213" spans="1:10" x14ac:dyDescent="0.35">
      <c r="A213">
        <v>683</v>
      </c>
      <c r="B213" t="str">
        <v>Yes</v>
      </c>
      <c r="C213" t="str">
        <v>No</v>
      </c>
      <c r="D213" t="str">
        <v>No</v>
      </c>
      <c r="E213" t="str">
        <v>No</v>
      </c>
      <c r="F213">
        <v>5</v>
      </c>
      <c r="G213" t="str">
        <v>R</v>
      </c>
      <c r="H213">
        <v>1.25</v>
      </c>
      <c r="I213">
        <v>0</v>
      </c>
      <c r="J213">
        <v>0</v>
      </c>
    </row>
    <row r="214" spans="1:10" x14ac:dyDescent="0.35">
      <c r="A214">
        <v>21</v>
      </c>
      <c r="B214" t="str">
        <v>Yes</v>
      </c>
      <c r="C214" t="str">
        <v>No</v>
      </c>
      <c r="D214" t="str">
        <v>No</v>
      </c>
      <c r="E214" t="str">
        <v>No</v>
      </c>
      <c r="F214">
        <v>5</v>
      </c>
      <c r="G214" t="str">
        <v>R</v>
      </c>
      <c r="H214">
        <v>1.25</v>
      </c>
      <c r="I214">
        <v>0</v>
      </c>
      <c r="J2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Guo</dc:creator>
  <cp:lastModifiedBy>Karina Guo</cp:lastModifiedBy>
  <dcterms:created xsi:type="dcterms:W3CDTF">2025-03-04T00:42:13Z</dcterms:created>
  <dcterms:modified xsi:type="dcterms:W3CDTF">2025-03-19T23:52:28Z</dcterms:modified>
</cp:coreProperties>
</file>