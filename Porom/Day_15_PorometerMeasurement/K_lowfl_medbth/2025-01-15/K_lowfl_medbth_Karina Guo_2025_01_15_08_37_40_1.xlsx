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_lowfl_medb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9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NSWID</v>
      </c>
      <c r="H2" t="str">
        <v>IID</v>
      </c>
      <c r="I2" t="str">
        <v>Drought</v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08:22:12</v>
      </c>
      <c r="C4" t="str">
        <v>2025-01-15</v>
      </c>
      <c r="D4" t="str">
        <v>K_lowfl_medbth</v>
      </c>
      <c r="E4" t="str">
        <v>Karina Guo</v>
      </c>
      <c r="F4" t="str">
        <v/>
      </c>
      <c r="G4" t="str">
        <v/>
      </c>
      <c r="H4" t="str">
        <v>167</v>
      </c>
      <c r="I4" t="str">
        <v>Low</v>
      </c>
      <c r="J4" t="str">
        <f>1/((1/L4)-(1/K4))</f>
        <v>0.158963</v>
      </c>
      <c r="K4" t="str">
        <f>BH4+(BI4*AN4)+(BJ4*AN4*POWER(V4,2))+(BK4*AN4*V4)+(BL4*POWER(AN4,2))</f>
        <v>1.900335</v>
      </c>
      <c r="L4" t="str">
        <f>((M4/1000)*(1000-((T4+S4)/2)))/(T4-S4)</f>
        <v>0.146692</v>
      </c>
      <c r="M4" t="str">
        <f>(AN4*(S4-R4))/(100*U4*(1000-S4))*1000</f>
        <v>1.151355</v>
      </c>
      <c r="N4" t="str">
        <v>1.979791</v>
      </c>
      <c r="O4" t="str">
        <v>1.917022</v>
      </c>
      <c r="P4" t="str">
        <f>0.61365*EXP((17.502*AL4)/(240.97+AL4))</f>
        <v>2.748600</v>
      </c>
      <c r="Q4" t="str">
        <f>P4-N4</f>
        <v>0.768809</v>
      </c>
      <c r="R4" t="str">
        <v>19.109690</v>
      </c>
      <c r="S4" t="str">
        <v>19.735401</v>
      </c>
      <c r="T4" t="str">
        <f>(P4/AM4)*1000</f>
        <v>27.399214</v>
      </c>
      <c r="U4" t="str">
        <f>V4*BG4</f>
        <v>0.441786</v>
      </c>
      <c r="V4" t="str">
        <v>7.500000</v>
      </c>
      <c r="W4" t="str">
        <v>PSF-01163_20250115082212_fbe</v>
      </c>
      <c r="X4" t="str">
        <v>0.000000</v>
      </c>
      <c r="Y4" t="str">
        <v>0.000000</v>
      </c>
      <c r="Z4" t="str">
        <v>0.000000</v>
      </c>
      <c r="AA4" t="str">
        <v>133.526443</v>
      </c>
      <c r="AB4" t="str">
        <v>569.929382</v>
      </c>
      <c r="AC4" t="str">
        <v>0.765714</v>
      </c>
      <c r="AD4" t="str">
        <v>0.5</v>
      </c>
      <c r="AE4" t="str">
        <v>0.80</v>
      </c>
      <c r="AF4" t="str">
        <f>AC4*AD4*AE4*AQ4</f>
        <v>17.875101</v>
      </c>
      <c r="AG4" t="str">
        <v>1.000000</v>
      </c>
      <c r="AH4" t="str">
        <v>71.02</v>
      </c>
      <c r="AI4" t="str">
        <v>68.77</v>
      </c>
      <c r="AJ4" t="str">
        <v>22.81</v>
      </c>
      <c r="AK4" t="str">
        <v>22.58</v>
      </c>
      <c r="AL4" t="str">
        <f>(AK4-AJ4)*(AJ4*0+0)+AK4</f>
        <v>22.58</v>
      </c>
      <c r="AM4" t="str">
        <v>100.32</v>
      </c>
      <c r="AN4" t="str">
        <v>79.7</v>
      </c>
      <c r="AO4" t="str">
        <v>79.1</v>
      </c>
      <c r="AP4" t="str">
        <v>0.8</v>
      </c>
      <c r="AQ4" t="str">
        <v>58</v>
      </c>
      <c r="AR4" t="str">
        <v>3.744</v>
      </c>
      <c r="AS4" t="str">
        <v>08:20:52</v>
      </c>
      <c r="AT4" t="str">
        <v>2025-01-15</v>
      </c>
      <c r="AU4" t="str">
        <v>-1.93</v>
      </c>
      <c r="AV4" t="str">
        <v>1</v>
      </c>
      <c r="AW4" t="str">
        <v>-0.002</v>
      </c>
      <c r="AX4" t="str">
        <v>0.001</v>
      </c>
      <c r="AY4" t="str">
        <v>-0.003</v>
      </c>
      <c r="AZ4" t="str">
        <v>0.160</v>
      </c>
      <c r="BA4" t="str">
        <v>0.322</v>
      </c>
      <c r="BB4" t="str">
        <v>0.217</v>
      </c>
      <c r="BC4" t="str">
        <v>1</v>
      </c>
      <c r="BD4" t="str">
        <v>75</v>
      </c>
      <c r="BE4" t="str">
        <v>0.001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rectangular</v>
      </c>
      <c r="BP4" t="str">
        <v>7000</v>
      </c>
      <c r="BQ4" t="str">
        <v>500</v>
      </c>
      <c r="BR4" t="str">
        <v>1.000000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2.467755</v>
      </c>
      <c r="CD4" t="str">
        <v>2.513282</v>
      </c>
      <c r="CE4" t="str">
        <v>1.073030</v>
      </c>
      <c r="CF4" t="str">
        <v>0.760903</v>
      </c>
      <c r="CG4" t="str">
        <v>0.297650</v>
      </c>
      <c r="CH4" t="str">
        <v>-0.000810</v>
      </c>
      <c r="CI4" t="str">
        <v>0.068776</v>
      </c>
      <c r="CJ4" t="str">
        <v>0.158112</v>
      </c>
      <c r="CK4" t="str">
        <v>133.526443</v>
      </c>
      <c r="CL4" t="str">
        <v>0.001169</v>
      </c>
      <c r="CM4" t="str">
        <v>2.363673</v>
      </c>
      <c r="CN4" t="str">
        <v>0.000005</v>
      </c>
      <c r="CO4" t="str">
        <v>1.000000</v>
      </c>
      <c r="CP4" t="str">
        <v>2.399535</v>
      </c>
      <c r="CQ4" t="str">
        <v>0.000012</v>
      </c>
      <c r="CR4" t="str">
        <v>1.000000</v>
      </c>
      <c r="CS4" t="str">
        <v>0.601056</v>
      </c>
      <c r="CT4" t="str">
        <v>0.600294</v>
      </c>
      <c r="CU4" t="str">
        <v>0.107352</v>
      </c>
      <c r="CV4" t="str">
        <v>0.000000</v>
      </c>
      <c r="CW4" t="str">
        <v>PSF-01163_20250115082212_fbe</v>
      </c>
      <c r="CX4" t="str">
        <v>PFA-00994</v>
      </c>
      <c r="CY4" t="str">
        <v>PSA-00994</v>
      </c>
      <c r="CZ4" t="str">
        <v>PSF-01163</v>
      </c>
      <c r="DA4" t="str">
        <v>RHS-01998</v>
      </c>
      <c r="DB4" t="str">
        <v>3.0.0</v>
      </c>
      <c r="DC4" t="str">
        <v>2025-01-13T08:33:48.201Z</v>
      </c>
    </row>
    <row r="5">
      <c r="A5" t="str">
        <v>2</v>
      </c>
      <c r="B5" t="str">
        <v>08:23:02</v>
      </c>
      <c r="C5" t="str">
        <v>2025-01-15</v>
      </c>
      <c r="D5" t="str">
        <v>K_lowfl_medbth</v>
      </c>
      <c r="E5" t="str">
        <v>Karina Guo</v>
      </c>
      <c r="F5" t="str">
        <v/>
      </c>
      <c r="G5" t="str">
        <v/>
      </c>
      <c r="H5" t="str">
        <v>167</v>
      </c>
      <c r="I5" t="str">
        <v>Low</v>
      </c>
      <c r="J5" t="str">
        <f>1/((1/L5)-(1/K5))</f>
        <v>0.096955</v>
      </c>
      <c r="K5" t="str">
        <f>BH5+(BI5*AN5)+(BJ5*AN5*POWER(V5,2))+(BK5*AN5*V5)+(BL5*POWER(AN5,2))</f>
        <v>1.896912</v>
      </c>
      <c r="L5" t="str">
        <f>((M5/1000)*(1000-((T5+S5)/2)))/(T5-S5)</f>
        <v>0.092241</v>
      </c>
      <c r="M5" t="str">
        <f>(AN5*(S5-R5))/(100*U5*(1000-S5))*1000</f>
        <v>0.746800</v>
      </c>
      <c r="N5" t="str">
        <v>2.030899</v>
      </c>
      <c r="O5" t="str">
        <v>1.990111</v>
      </c>
      <c r="P5" t="str">
        <f>0.61365*EXP((17.502*AL5)/(240.97+AL5))</f>
        <v>2.823443</v>
      </c>
      <c r="Q5" t="str">
        <f>P5-N5</f>
        <v>0.792545</v>
      </c>
      <c r="R5" t="str">
        <v>19.838020</v>
      </c>
      <c r="S5" t="str">
        <v>20.244608</v>
      </c>
      <c r="T5" t="str">
        <f>(P5/AM5)*1000</f>
        <v>28.144932</v>
      </c>
      <c r="U5" t="str">
        <f>V5*BG5</f>
        <v>0.441786</v>
      </c>
      <c r="V5" t="str">
        <v>7.500000</v>
      </c>
      <c r="W5" t="str">
        <v>PSF-01163_20250115082302_51d</v>
      </c>
      <c r="X5" t="str">
        <v>0.000000</v>
      </c>
      <c r="Y5" t="str">
        <v>0.000000</v>
      </c>
      <c r="Z5" t="str">
        <v>0.000000</v>
      </c>
      <c r="AA5" t="str">
        <v>156.549103</v>
      </c>
      <c r="AB5" t="str">
        <v>531.484741</v>
      </c>
      <c r="AC5" t="str">
        <v>0.705449</v>
      </c>
      <c r="AD5" t="str">
        <v>0.5</v>
      </c>
      <c r="AE5" t="str">
        <v>0.80</v>
      </c>
      <c r="AF5" t="str">
        <f>AC5*AD5*AE5*AQ5</f>
        <v>10.579631</v>
      </c>
      <c r="AG5" t="str">
        <v>1.000000</v>
      </c>
      <c r="AH5" t="str">
        <v>72.02</v>
      </c>
      <c r="AI5" t="str">
        <v>70.57</v>
      </c>
      <c r="AJ5" t="str">
        <v>23.00</v>
      </c>
      <c r="AK5" t="str">
        <v>23.02</v>
      </c>
      <c r="AL5" t="str">
        <f>(AK5-AJ5)*(AJ5*0+0)+AK5</f>
        <v>23.02</v>
      </c>
      <c r="AM5" t="str">
        <v>100.32</v>
      </c>
      <c r="AN5" t="str">
        <v>79.5</v>
      </c>
      <c r="AO5" t="str">
        <v>79.7</v>
      </c>
      <c r="AP5" t="str">
        <v>-0.2</v>
      </c>
      <c r="AQ5" t="str">
        <v>37</v>
      </c>
      <c r="AR5" t="str">
        <v>3.741</v>
      </c>
      <c r="AS5" t="str">
        <v>08:20:52</v>
      </c>
      <c r="AT5" t="str">
        <v>2025-01-15</v>
      </c>
      <c r="AU5" t="str">
        <v>-1.93</v>
      </c>
      <c r="AV5" t="str">
        <v>1</v>
      </c>
      <c r="AW5" t="str">
        <v>-0.002</v>
      </c>
      <c r="AX5" t="str">
        <v>-0.001</v>
      </c>
      <c r="AY5" t="str">
        <v>-0.004</v>
      </c>
      <c r="AZ5" t="str">
        <v>0.206</v>
      </c>
      <c r="BA5" t="str">
        <v>-0.249</v>
      </c>
      <c r="BB5" t="str">
        <v>-0.678</v>
      </c>
      <c r="BC5" t="str">
        <v>1</v>
      </c>
      <c r="BD5" t="str">
        <v>75</v>
      </c>
      <c r="BE5" t="str">
        <v>0.001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rectangular</v>
      </c>
      <c r="BP5" t="str">
        <v>7000</v>
      </c>
      <c r="BQ5" t="str">
        <v>500</v>
      </c>
      <c r="BR5" t="str">
        <v>1.000000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2.470075</v>
      </c>
      <c r="CD5" t="str">
        <v>2.514602</v>
      </c>
      <c r="CE5" t="str">
        <v>1.071761</v>
      </c>
      <c r="CF5" t="str">
        <v>0.762320</v>
      </c>
      <c r="CG5" t="str">
        <v>0.295407</v>
      </c>
      <c r="CH5" t="str">
        <v>0.002008</v>
      </c>
      <c r="CI5" t="str">
        <v>0.075751</v>
      </c>
      <c r="CJ5" t="str">
        <v>0.139961</v>
      </c>
      <c r="CK5" t="str">
        <v>156.549103</v>
      </c>
      <c r="CL5" t="str">
        <v>0.001149</v>
      </c>
      <c r="CM5" t="str">
        <v>2.363673</v>
      </c>
      <c r="CN5" t="str">
        <v>0.000005</v>
      </c>
      <c r="CO5" t="str">
        <v>1.000000</v>
      </c>
      <c r="CP5" t="str">
        <v>2.399535</v>
      </c>
      <c r="CQ5" t="str">
        <v>0.000012</v>
      </c>
      <c r="CR5" t="str">
        <v>1.000000</v>
      </c>
      <c r="CS5" t="str">
        <v>0.601056</v>
      </c>
      <c r="CT5" t="str">
        <v>0.600294</v>
      </c>
      <c r="CU5" t="str">
        <v>0.107352</v>
      </c>
      <c r="CV5" t="str">
        <v>0.000000</v>
      </c>
      <c r="CW5" t="str">
        <v>PSF-01163_20250115082302_51d</v>
      </c>
      <c r="CX5" t="str">
        <v>PFA-00994</v>
      </c>
      <c r="CY5" t="str">
        <v>PSA-00994</v>
      </c>
      <c r="CZ5" t="str">
        <v>PSF-01163</v>
      </c>
      <c r="DA5" t="str">
        <v>RHS-01998</v>
      </c>
      <c r="DB5" t="str">
        <v>3.0.0</v>
      </c>
      <c r="DC5" t="str">
        <v>2025-01-13T08:33:48.201Z</v>
      </c>
    </row>
    <row r="6">
      <c r="A6" t="str">
        <v>3</v>
      </c>
      <c r="B6" t="str">
        <v>08:23:47</v>
      </c>
      <c r="C6" t="str">
        <v>2025-01-15</v>
      </c>
      <c r="D6" t="str">
        <v>K_lowfl_medbth</v>
      </c>
      <c r="E6" t="str">
        <v>Karina Guo</v>
      </c>
      <c r="F6" t="str">
        <v/>
      </c>
      <c r="G6" t="str">
        <v/>
      </c>
      <c r="H6" t="str">
        <v>167</v>
      </c>
      <c r="I6" t="str">
        <v>Low</v>
      </c>
      <c r="J6" t="str">
        <f>1/((1/L6)-(1/K6))</f>
        <v>0.169758</v>
      </c>
      <c r="K6" t="str">
        <f>BH6+(BI6*AN6)+(BJ6*AN6*POWER(V6,2))+(BK6*AN6*V6)+(BL6*POWER(AN6,2))</f>
        <v>1.901697</v>
      </c>
      <c r="L6" t="str">
        <f>((M6/1000)*(1000-((T6+S6)/2)))/(T6-S6)</f>
        <v>0.155846</v>
      </c>
      <c r="M6" t="str">
        <f>(AN6*(S6-R6))/(100*U6*(1000-S6))*1000</f>
        <v>1.132584</v>
      </c>
      <c r="N6" t="str">
        <v>2.098514</v>
      </c>
      <c r="O6" t="str">
        <v>2.036899</v>
      </c>
      <c r="P6" t="str">
        <f>0.61365*EXP((17.502*AL6)/(240.97+AL6))</f>
        <v>2.809721</v>
      </c>
      <c r="Q6" t="str">
        <f>P6-N6</f>
        <v>0.711207</v>
      </c>
      <c r="R6" t="str">
        <v>20.304470</v>
      </c>
      <c r="S6" t="str">
        <v>20.918667</v>
      </c>
      <c r="T6" t="str">
        <f>(P6/AM6)*1000</f>
        <v>28.008213</v>
      </c>
      <c r="U6" t="str">
        <f>V6*BG6</f>
        <v>0.441786</v>
      </c>
      <c r="V6" t="str">
        <v>7.500000</v>
      </c>
      <c r="W6" t="str">
        <v>PSF-01163_20250115082347_097</v>
      </c>
      <c r="X6" t="str">
        <v>0.000000</v>
      </c>
      <c r="Y6" t="str">
        <v>0.000000</v>
      </c>
      <c r="Z6" t="str">
        <v>0.000000</v>
      </c>
      <c r="AA6" t="str">
        <v>136.551971</v>
      </c>
      <c r="AB6" t="str">
        <v>569.143677</v>
      </c>
      <c r="AC6" t="str">
        <v>0.760075</v>
      </c>
      <c r="AD6" t="str">
        <v>0.5</v>
      </c>
      <c r="AE6" t="str">
        <v>0.80</v>
      </c>
      <c r="AF6" t="str">
        <f>AC6*AD6*AE6*AQ6</f>
        <v>13.664561</v>
      </c>
      <c r="AG6" t="str">
        <v>1.000000</v>
      </c>
      <c r="AH6" t="str">
        <v>73.60</v>
      </c>
      <c r="AI6" t="str">
        <v>71.44</v>
      </c>
      <c r="AJ6" t="str">
        <v>23.18</v>
      </c>
      <c r="AK6" t="str">
        <v>22.94</v>
      </c>
      <c r="AL6" t="str">
        <f>(AK6-AJ6)*(AJ6*0+0)+AK6</f>
        <v>22.94</v>
      </c>
      <c r="AM6" t="str">
        <v>100.32</v>
      </c>
      <c r="AN6" t="str">
        <v>79.8</v>
      </c>
      <c r="AO6" t="str">
        <v>79.7</v>
      </c>
      <c r="AP6" t="str">
        <v>0.0</v>
      </c>
      <c r="AQ6" t="str">
        <v>45</v>
      </c>
      <c r="AR6" t="str">
        <v>3.739</v>
      </c>
      <c r="AS6" t="str">
        <v>08:20:52</v>
      </c>
      <c r="AT6" t="str">
        <v>2025-01-15</v>
      </c>
      <c r="AU6" t="str">
        <v>-1.93</v>
      </c>
      <c r="AV6" t="str">
        <v>1</v>
      </c>
      <c r="AW6" t="str">
        <v>-0.003</v>
      </c>
      <c r="AX6" t="str">
        <v>0.000</v>
      </c>
      <c r="AY6" t="str">
        <v>-0.003</v>
      </c>
      <c r="AZ6" t="str">
        <v>-0.118</v>
      </c>
      <c r="BA6" t="str">
        <v>-0.253</v>
      </c>
      <c r="BB6" t="str">
        <v>-0.670</v>
      </c>
      <c r="BC6" t="str">
        <v>1</v>
      </c>
      <c r="BD6" t="str">
        <v>75</v>
      </c>
      <c r="BE6" t="str">
        <v>0.001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rectangular</v>
      </c>
      <c r="BP6" t="str">
        <v>7000</v>
      </c>
      <c r="BQ6" t="str">
        <v>500</v>
      </c>
      <c r="BR6" t="str">
        <v>1.000000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2.471165</v>
      </c>
      <c r="CD6" t="str">
        <v>2.516696</v>
      </c>
      <c r="CE6" t="str">
        <v>1.073535</v>
      </c>
      <c r="CF6" t="str">
        <v>0.762388</v>
      </c>
      <c r="CG6" t="str">
        <v>0.293249</v>
      </c>
      <c r="CH6" t="str">
        <v>-0.000908</v>
      </c>
      <c r="CI6" t="str">
        <v>0.081622</v>
      </c>
      <c r="CJ6" t="str">
        <v>0.146443</v>
      </c>
      <c r="CK6" t="str">
        <v>136.551971</v>
      </c>
      <c r="CL6" t="str">
        <v>0.001138</v>
      </c>
      <c r="CM6" t="str">
        <v>2.363673</v>
      </c>
      <c r="CN6" t="str">
        <v>0.000005</v>
      </c>
      <c r="CO6" t="str">
        <v>1.000000</v>
      </c>
      <c r="CP6" t="str">
        <v>2.399535</v>
      </c>
      <c r="CQ6" t="str">
        <v>0.000012</v>
      </c>
      <c r="CR6" t="str">
        <v>1.000000</v>
      </c>
      <c r="CS6" t="str">
        <v>0.601056</v>
      </c>
      <c r="CT6" t="str">
        <v>0.600294</v>
      </c>
      <c r="CU6" t="str">
        <v>0.107352</v>
      </c>
      <c r="CV6" t="str">
        <v>0.000000</v>
      </c>
      <c r="CW6" t="str">
        <v>PSF-01163_20250115082347_097</v>
      </c>
      <c r="CX6" t="str">
        <v>PFA-00994</v>
      </c>
      <c r="CY6" t="str">
        <v>PSA-00994</v>
      </c>
      <c r="CZ6" t="str">
        <v>PSF-01163</v>
      </c>
      <c r="DA6" t="str">
        <v>RHS-01998</v>
      </c>
      <c r="DB6" t="str">
        <v>3.0.0</v>
      </c>
      <c r="DC6" t="str">
        <v>2025-01-13T08:33:48.201Z</v>
      </c>
    </row>
    <row r="7">
      <c r="A7" t="str">
        <v>4</v>
      </c>
      <c r="B7" t="str">
        <v>08:24:54</v>
      </c>
      <c r="C7" t="str">
        <v>2025-01-15</v>
      </c>
      <c r="D7" t="str">
        <v>K_lowfl_medbth</v>
      </c>
      <c r="E7" t="str">
        <v>Karina Guo</v>
      </c>
      <c r="F7" t="str">
        <v/>
      </c>
      <c r="G7" t="str">
        <v/>
      </c>
      <c r="H7" t="str">
        <v>449</v>
      </c>
      <c r="I7" t="str">
        <v>High</v>
      </c>
      <c r="J7" t="str">
        <f>1/((1/L7)-(1/K7))</f>
        <v>0.159959</v>
      </c>
      <c r="K7" t="str">
        <f>BH7+(BI7*AN7)+(BJ7*AN7*POWER(V7,2))+(BK7*AN7*V7)+(BL7*POWER(AN7,2))</f>
        <v>1.903451</v>
      </c>
      <c r="L7" t="str">
        <f>((M7/1000)*(1000-((T7+S7)/2)))/(T7-S7)</f>
        <v>0.147559</v>
      </c>
      <c r="M7" t="str">
        <f>(AN7*(S7-R7))/(100*U7*(1000-S7))*1000</f>
        <v>1.042303</v>
      </c>
      <c r="N7" t="str">
        <v>2.162003</v>
      </c>
      <c r="O7" t="str">
        <v>2.105395</v>
      </c>
      <c r="P7" t="str">
        <f>0.61365*EXP((17.502*AL7)/(240.97+AL7))</f>
        <v>2.853004</v>
      </c>
      <c r="Q7" t="str">
        <f>P7-N7</f>
        <v>0.691000</v>
      </c>
      <c r="R7" t="str">
        <v>20.984232</v>
      </c>
      <c r="S7" t="str">
        <v>21.548435</v>
      </c>
      <c r="T7" t="str">
        <f>(P7/AM7)*1000</f>
        <v>28.435558</v>
      </c>
      <c r="U7" t="str">
        <f>V7*BG7</f>
        <v>0.441786</v>
      </c>
      <c r="V7" t="str">
        <v>7.500000</v>
      </c>
      <c r="W7" t="str">
        <v>PSF-01163_20250115082454_2b2</v>
      </c>
      <c r="X7" t="str">
        <v>0.000000</v>
      </c>
      <c r="Y7" t="str">
        <v>0.000000</v>
      </c>
      <c r="Z7" t="str">
        <v>0.000000</v>
      </c>
      <c r="AA7" t="str">
        <v>134.392975</v>
      </c>
      <c r="AB7" t="str">
        <v>563.378357</v>
      </c>
      <c r="AC7" t="str">
        <v>0.761452</v>
      </c>
      <c r="AD7" t="str">
        <v>0.5</v>
      </c>
      <c r="AE7" t="str">
        <v>0.80</v>
      </c>
      <c r="AF7" t="str">
        <f>AC7*AD7*AE7*AQ7</f>
        <v>14.031343</v>
      </c>
      <c r="AG7" t="str">
        <v>1.000000</v>
      </c>
      <c r="AH7" t="str">
        <v>74.39</v>
      </c>
      <c r="AI7" t="str">
        <v>72.44</v>
      </c>
      <c r="AJ7" t="str">
        <v>23.50</v>
      </c>
      <c r="AK7" t="str">
        <v>23.19</v>
      </c>
      <c r="AL7" t="str">
        <f>(AK7-AJ7)*(AJ7*0+0)+AK7</f>
        <v>23.19</v>
      </c>
      <c r="AM7" t="str">
        <v>100.33</v>
      </c>
      <c r="AN7" t="str">
        <v>79.9</v>
      </c>
      <c r="AO7" t="str">
        <v>79.8</v>
      </c>
      <c r="AP7" t="str">
        <v>0.1</v>
      </c>
      <c r="AQ7" t="str">
        <v>46</v>
      </c>
      <c r="AR7" t="str">
        <v>3.736</v>
      </c>
      <c r="AS7" t="str">
        <v>08:20:52</v>
      </c>
      <c r="AT7" t="str">
        <v>2025-01-15</v>
      </c>
      <c r="AU7" t="str">
        <v>-1.93</v>
      </c>
      <c r="AV7" t="str">
        <v>1</v>
      </c>
      <c r="AW7" t="str">
        <v>-0.001</v>
      </c>
      <c r="AX7" t="str">
        <v>-0.001</v>
      </c>
      <c r="AY7" t="str">
        <v>-0.002</v>
      </c>
      <c r="AZ7" t="str">
        <v>0.100</v>
      </c>
      <c r="BA7" t="str">
        <v>0.092</v>
      </c>
      <c r="BB7" t="str">
        <v>0.104</v>
      </c>
      <c r="BC7" t="str">
        <v>1</v>
      </c>
      <c r="BD7" t="str">
        <v>75</v>
      </c>
      <c r="BE7" t="str">
        <v>0.001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rectangular</v>
      </c>
      <c r="BP7" t="str">
        <v>7000</v>
      </c>
      <c r="BQ7" t="str">
        <v>500</v>
      </c>
      <c r="BR7" t="str">
        <v>1.000000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2.472420</v>
      </c>
      <c r="CD7" t="str">
        <v>2.517715</v>
      </c>
      <c r="CE7" t="str">
        <v>1.074187</v>
      </c>
      <c r="CF7" t="str">
        <v>0.762464</v>
      </c>
      <c r="CG7" t="str">
        <v>0.289564</v>
      </c>
      <c r="CH7" t="str">
        <v>-0.001604</v>
      </c>
      <c r="CI7" t="str">
        <v>0.090278</v>
      </c>
      <c r="CJ7" t="str">
        <v>0.147420</v>
      </c>
      <c r="CK7" t="str">
        <v>134.392975</v>
      </c>
      <c r="CL7" t="str">
        <v>0.001153</v>
      </c>
      <c r="CM7" t="str">
        <v>2.363673</v>
      </c>
      <c r="CN7" t="str">
        <v>0.000005</v>
      </c>
      <c r="CO7" t="str">
        <v>1.000000</v>
      </c>
      <c r="CP7" t="str">
        <v>2.399535</v>
      </c>
      <c r="CQ7" t="str">
        <v>0.000012</v>
      </c>
      <c r="CR7" t="str">
        <v>1.000000</v>
      </c>
      <c r="CS7" t="str">
        <v>0.601056</v>
      </c>
      <c r="CT7" t="str">
        <v>0.600294</v>
      </c>
      <c r="CU7" t="str">
        <v>0.107352</v>
      </c>
      <c r="CV7" t="str">
        <v>0.000000</v>
      </c>
      <c r="CW7" t="str">
        <v>PSF-01163_20250115082454_2b2</v>
      </c>
      <c r="CX7" t="str">
        <v>PFA-00994</v>
      </c>
      <c r="CY7" t="str">
        <v>PSA-00994</v>
      </c>
      <c r="CZ7" t="str">
        <v>PSF-01163</v>
      </c>
      <c r="DA7" t="str">
        <v>RHS-01998</v>
      </c>
      <c r="DB7" t="str">
        <v>3.0.0</v>
      </c>
      <c r="DC7" t="str">
        <v>2025-01-13T08:33:48.201Z</v>
      </c>
    </row>
    <row r="8">
      <c r="A8" t="str">
        <v>5</v>
      </c>
      <c r="B8" t="str">
        <v>08:25:32</v>
      </c>
      <c r="C8" t="str">
        <v>2025-01-15</v>
      </c>
      <c r="D8" t="str">
        <v>K_lowfl_medbth</v>
      </c>
      <c r="E8" t="str">
        <v>Karina Guo</v>
      </c>
      <c r="F8" t="str">
        <v/>
      </c>
      <c r="G8" t="str">
        <v/>
      </c>
      <c r="H8" t="str">
        <v>449</v>
      </c>
      <c r="I8" t="str">
        <v>High</v>
      </c>
      <c r="J8" t="str">
        <f>1/((1/L8)-(1/K8))</f>
        <v>0.081190</v>
      </c>
      <c r="K8" t="str">
        <f>BH8+(BI8*AN8)+(BJ8*AN8*POWER(V8,2))+(BK8*AN8*V8)+(BL8*POWER(AN8,2))</f>
        <v>1.904123</v>
      </c>
      <c r="L8" t="str">
        <f>((M8/1000)*(1000-((T8+S8)/2)))/(T8-S8)</f>
        <v>0.077870</v>
      </c>
      <c r="M8" t="str">
        <f>(AN8*(S8-R8))/(100*U8*(1000-S8))*1000</f>
        <v>0.586904</v>
      </c>
      <c r="N8" t="str">
        <v>2.181756</v>
      </c>
      <c r="O8" t="str">
        <v>2.149904</v>
      </c>
      <c r="P8" t="str">
        <f>0.61365*EXP((17.502*AL8)/(240.97+AL8))</f>
        <v>2.918689</v>
      </c>
      <c r="Q8" t="str">
        <f>P8-N8</f>
        <v>0.736933</v>
      </c>
      <c r="R8" t="str">
        <v>21.429293</v>
      </c>
      <c r="S8" t="str">
        <v>21.746777</v>
      </c>
      <c r="T8" t="str">
        <f>(P8/AM8)*1000</f>
        <v>29.092194</v>
      </c>
      <c r="U8" t="str">
        <f>V8*BG8</f>
        <v>0.441786</v>
      </c>
      <c r="V8" t="str">
        <v>7.500000</v>
      </c>
      <c r="W8" t="str">
        <v>PSF-01163_20250115082532_63c</v>
      </c>
      <c r="X8" t="str">
        <v>0.000000</v>
      </c>
      <c r="Y8" t="str">
        <v>0.000000</v>
      </c>
      <c r="Z8" t="str">
        <v>0.000000</v>
      </c>
      <c r="AA8" t="str">
        <v>141.676071</v>
      </c>
      <c r="AB8" t="str">
        <v>546.139954</v>
      </c>
      <c r="AC8" t="str">
        <v>0.740586</v>
      </c>
      <c r="AD8" t="str">
        <v>0.5</v>
      </c>
      <c r="AE8" t="str">
        <v>0.80</v>
      </c>
      <c r="AF8" t="str">
        <f>AC8*AD8*AE8*AQ8</f>
        <v>14.076471</v>
      </c>
      <c r="AG8" t="str">
        <v>1.000000</v>
      </c>
      <c r="AH8" t="str">
        <v>74.20</v>
      </c>
      <c r="AI8" t="str">
        <v>73.11</v>
      </c>
      <c r="AJ8" t="str">
        <v>23.70</v>
      </c>
      <c r="AK8" t="str">
        <v>23.57</v>
      </c>
      <c r="AL8" t="str">
        <f>(AK8-AJ8)*(AJ8*0+0)+AK8</f>
        <v>23.57</v>
      </c>
      <c r="AM8" t="str">
        <v>100.33</v>
      </c>
      <c r="AN8" t="str">
        <v>79.9</v>
      </c>
      <c r="AO8" t="str">
        <v>80.0</v>
      </c>
      <c r="AP8" t="str">
        <v>-0.1</v>
      </c>
      <c r="AQ8" t="str">
        <v>48</v>
      </c>
      <c r="AR8" t="str">
        <v>3.735</v>
      </c>
      <c r="AS8" t="str">
        <v>08:20:52</v>
      </c>
      <c r="AT8" t="str">
        <v>2025-01-15</v>
      </c>
      <c r="AU8" t="str">
        <v>-1.93</v>
      </c>
      <c r="AV8" t="str">
        <v>1</v>
      </c>
      <c r="AW8" t="str">
        <v>-0.001</v>
      </c>
      <c r="AX8" t="str">
        <v>0.001</v>
      </c>
      <c r="AY8" t="str">
        <v>-0.003</v>
      </c>
      <c r="AZ8" t="str">
        <v>-0.092</v>
      </c>
      <c r="BA8" t="str">
        <v>-0.032</v>
      </c>
      <c r="BB8" t="str">
        <v>-0.246</v>
      </c>
      <c r="BC8" t="str">
        <v>1</v>
      </c>
      <c r="BD8" t="str">
        <v>75</v>
      </c>
      <c r="BE8" t="str">
        <v>0.001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rectangular</v>
      </c>
      <c r="BP8" t="str">
        <v>7000</v>
      </c>
      <c r="BQ8" t="str">
        <v>500</v>
      </c>
      <c r="BR8" t="str">
        <v>1.000000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2.473257</v>
      </c>
      <c r="CD8" t="str">
        <v>2.517419</v>
      </c>
      <c r="CE8" t="str">
        <v>1.074437</v>
      </c>
      <c r="CF8" t="str">
        <v>0.762910</v>
      </c>
      <c r="CG8" t="str">
        <v>0.287316</v>
      </c>
      <c r="CH8" t="str">
        <v>0.000429</v>
      </c>
      <c r="CI8" t="str">
        <v>0.094977</v>
      </c>
      <c r="CJ8" t="str">
        <v>0.148681</v>
      </c>
      <c r="CK8" t="str">
        <v>141.676071</v>
      </c>
      <c r="CL8" t="str">
        <v>0.001150</v>
      </c>
      <c r="CM8" t="str">
        <v>2.363673</v>
      </c>
      <c r="CN8" t="str">
        <v>0.000005</v>
      </c>
      <c r="CO8" t="str">
        <v>1.000000</v>
      </c>
      <c r="CP8" t="str">
        <v>2.399535</v>
      </c>
      <c r="CQ8" t="str">
        <v>0.000012</v>
      </c>
      <c r="CR8" t="str">
        <v>1.000000</v>
      </c>
      <c r="CS8" t="str">
        <v>0.601056</v>
      </c>
      <c r="CT8" t="str">
        <v>0.600294</v>
      </c>
      <c r="CU8" t="str">
        <v>0.107352</v>
      </c>
      <c r="CV8" t="str">
        <v>0.000000</v>
      </c>
      <c r="CW8" t="str">
        <v>PSF-01163_20250115082532_63c</v>
      </c>
      <c r="CX8" t="str">
        <v>PFA-00994</v>
      </c>
      <c r="CY8" t="str">
        <v>PSA-00994</v>
      </c>
      <c r="CZ8" t="str">
        <v>PSF-01163</v>
      </c>
      <c r="DA8" t="str">
        <v>RHS-01998</v>
      </c>
      <c r="DB8" t="str">
        <v>3.0.0</v>
      </c>
      <c r="DC8" t="str">
        <v>2025-01-13T08:33:48.201Z</v>
      </c>
    </row>
    <row r="9">
      <c r="A9" t="str">
        <v>6</v>
      </c>
      <c r="B9" t="str">
        <v>08:26:05</v>
      </c>
      <c r="C9" t="str">
        <v>2025-01-15</v>
      </c>
      <c r="D9" t="str">
        <v>K_lowfl_medbth</v>
      </c>
      <c r="E9" t="str">
        <v>Karina Guo</v>
      </c>
      <c r="F9" t="str">
        <v/>
      </c>
      <c r="G9" t="str">
        <v/>
      </c>
      <c r="H9" t="str">
        <v>449</v>
      </c>
      <c r="I9" t="str">
        <v>High</v>
      </c>
      <c r="J9" t="str">
        <f>1/((1/L9)-(1/K9))</f>
        <v>0.094581</v>
      </c>
      <c r="K9" t="str">
        <f>BH9+(BI9*AN9)+(BJ9*AN9*POWER(V9,2))+(BK9*AN9*V9)+(BL9*POWER(AN9,2))</f>
        <v>1.901939</v>
      </c>
      <c r="L9" t="str">
        <f>((M9/1000)*(1000-((T9+S9)/2)))/(T9-S9)</f>
        <v>0.090101</v>
      </c>
      <c r="M9" t="str">
        <f>(AN9*(S9-R9))/(100*U9*(1000-S9))*1000</f>
        <v>0.677501</v>
      </c>
      <c r="N9" t="str">
        <v>2.209791</v>
      </c>
      <c r="O9" t="str">
        <v>2.172978</v>
      </c>
      <c r="P9" t="str">
        <f>0.61365*EXP((17.502*AL9)/(240.97+AL9))</f>
        <v>2.944808</v>
      </c>
      <c r="Q9" t="str">
        <f>P9-N9</f>
        <v>0.735017</v>
      </c>
      <c r="R9" t="str">
        <v>21.658951</v>
      </c>
      <c r="S9" t="str">
        <v>22.025883</v>
      </c>
      <c r="T9" t="str">
        <f>(P9/AM9)*1000</f>
        <v>29.352095</v>
      </c>
      <c r="U9" t="str">
        <f>V9*BG9</f>
        <v>0.441786</v>
      </c>
      <c r="V9" t="str">
        <v>7.500000</v>
      </c>
      <c r="W9" t="str">
        <v>PSF-01163_20250115082605_b04</v>
      </c>
      <c r="X9" t="str">
        <v>0.000000</v>
      </c>
      <c r="Y9" t="str">
        <v>0.000000</v>
      </c>
      <c r="Z9" t="str">
        <v>0.000000</v>
      </c>
      <c r="AA9" t="str">
        <v>136.512634</v>
      </c>
      <c r="AB9" t="str">
        <v>518.797546</v>
      </c>
      <c r="AC9" t="str">
        <v>0.736867</v>
      </c>
      <c r="AD9" t="str">
        <v>0.5</v>
      </c>
      <c r="AE9" t="str">
        <v>0.80</v>
      </c>
      <c r="AF9" t="str">
        <f>AC9*AD9*AE9*AQ9</f>
        <v>15.850003</v>
      </c>
      <c r="AG9" t="str">
        <v>1.000000</v>
      </c>
      <c r="AH9" t="str">
        <v>74.32</v>
      </c>
      <c r="AI9" t="str">
        <v>73.08</v>
      </c>
      <c r="AJ9" t="str">
        <v>23.88</v>
      </c>
      <c r="AK9" t="str">
        <v>23.72</v>
      </c>
      <c r="AL9" t="str">
        <f>(AK9-AJ9)*(AJ9*0+0)+AK9</f>
        <v>23.72</v>
      </c>
      <c r="AM9" t="str">
        <v>100.33</v>
      </c>
      <c r="AN9" t="str">
        <v>79.8</v>
      </c>
      <c r="AO9" t="str">
        <v>79.7</v>
      </c>
      <c r="AP9" t="str">
        <v>0.1</v>
      </c>
      <c r="AQ9" t="str">
        <v>54</v>
      </c>
      <c r="AR9" t="str">
        <v>3.733</v>
      </c>
      <c r="AS9" t="str">
        <v>08:20:52</v>
      </c>
      <c r="AT9" t="str">
        <v>2025-01-15</v>
      </c>
      <c r="AU9" t="str">
        <v>-1.93</v>
      </c>
      <c r="AV9" t="str">
        <v>1</v>
      </c>
      <c r="AW9" t="str">
        <v>-0.001</v>
      </c>
      <c r="AX9" t="str">
        <v>-0.000</v>
      </c>
      <c r="AY9" t="str">
        <v>-0.003</v>
      </c>
      <c r="AZ9" t="str">
        <v>0.033</v>
      </c>
      <c r="BA9" t="str">
        <v>0.006</v>
      </c>
      <c r="BB9" t="str">
        <v>-0.042</v>
      </c>
      <c r="BC9" t="str">
        <v>1</v>
      </c>
      <c r="BD9" t="str">
        <v>75</v>
      </c>
      <c r="BE9" t="str">
        <v>0.001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rectangular</v>
      </c>
      <c r="BP9" t="str">
        <v>7000</v>
      </c>
      <c r="BQ9" t="str">
        <v>500</v>
      </c>
      <c r="BR9" t="str">
        <v>1.000000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2.473181</v>
      </c>
      <c r="CD9" t="str">
        <v>2.517555</v>
      </c>
      <c r="CE9" t="str">
        <v>1.073625</v>
      </c>
      <c r="CF9" t="str">
        <v>0.762279</v>
      </c>
      <c r="CG9" t="str">
        <v>0.285200</v>
      </c>
      <c r="CH9" t="str">
        <v>0.000025</v>
      </c>
      <c r="CI9" t="str">
        <v>0.099087</v>
      </c>
      <c r="CJ9" t="str">
        <v>0.154123</v>
      </c>
      <c r="CK9" t="str">
        <v>136.512634</v>
      </c>
      <c r="CL9" t="str">
        <v>0.001163</v>
      </c>
      <c r="CM9" t="str">
        <v>2.363673</v>
      </c>
      <c r="CN9" t="str">
        <v>0.000005</v>
      </c>
      <c r="CO9" t="str">
        <v>1.000000</v>
      </c>
      <c r="CP9" t="str">
        <v>2.399535</v>
      </c>
      <c r="CQ9" t="str">
        <v>0.000012</v>
      </c>
      <c r="CR9" t="str">
        <v>1.000000</v>
      </c>
      <c r="CS9" t="str">
        <v>0.601056</v>
      </c>
      <c r="CT9" t="str">
        <v>0.600294</v>
      </c>
      <c r="CU9" t="str">
        <v>0.107352</v>
      </c>
      <c r="CV9" t="str">
        <v>0.000000</v>
      </c>
      <c r="CW9" t="str">
        <v>PSF-01163_20250115082605_b04</v>
      </c>
      <c r="CX9" t="str">
        <v>PFA-00994</v>
      </c>
      <c r="CY9" t="str">
        <v>PSA-00994</v>
      </c>
      <c r="CZ9" t="str">
        <v>PSF-01163</v>
      </c>
      <c r="DA9" t="str">
        <v>RHS-01998</v>
      </c>
      <c r="DB9" t="str">
        <v>3.0.0</v>
      </c>
      <c r="DC9" t="str">
        <v>2025-01-13T08:33:48.201Z</v>
      </c>
    </row>
    <row r="10">
      <c r="A10" t="str">
        <v>7</v>
      </c>
      <c r="B10" t="str">
        <v>08:27:54</v>
      </c>
      <c r="C10" t="str">
        <v>2025-01-15</v>
      </c>
      <c r="D10" t="str">
        <v>K_lowfl_medbth</v>
      </c>
      <c r="E10" t="str">
        <v>Karina Guo</v>
      </c>
      <c r="F10" t="str">
        <v/>
      </c>
      <c r="G10" t="str">
        <v/>
      </c>
      <c r="H10" t="str">
        <v>667</v>
      </c>
      <c r="I10" t="str">
        <v>Mid</v>
      </c>
      <c r="J10" t="str">
        <f>1/((1/L10)-(1/K10))</f>
        <v>0.206863</v>
      </c>
      <c r="K10" t="str">
        <f>BH10+(BI10*AN10)+(BJ10*AN10*POWER(V10,2))+(BK10*AN10*V10)+(BL10*POWER(AN10,2))</f>
        <v>1.906694</v>
      </c>
      <c r="L10" t="str">
        <f>((M10/1000)*(1000-((T10+S10)/2)))/(T10-S10)</f>
        <v>0.186616</v>
      </c>
      <c r="M10" t="str">
        <f>(AN10*(S10-R10))/(100*U10*(1000-S10))*1000</f>
        <v>1.300490</v>
      </c>
      <c r="N10" t="str">
        <v>2.293856</v>
      </c>
      <c r="O10" t="str">
        <v>2.223476</v>
      </c>
      <c r="P10" t="str">
        <f>0.61365*EXP((17.502*AL10)/(240.97+AL10))</f>
        <v>2.974689</v>
      </c>
      <c r="Q10" t="str">
        <f>P10-N10</f>
        <v>0.680833</v>
      </c>
      <c r="R10" t="str">
        <v>22.161243</v>
      </c>
      <c r="S10" t="str">
        <v>22.862713</v>
      </c>
      <c r="T10" t="str">
        <f>(P10/AM10)*1000</f>
        <v>29.648531</v>
      </c>
      <c r="U10" t="str">
        <f>V10*BG10</f>
        <v>0.441786</v>
      </c>
      <c r="V10" t="str">
        <v>7.500000</v>
      </c>
      <c r="W10" t="str">
        <v>PSF-01163_20250115082754_c6b</v>
      </c>
      <c r="X10" t="str">
        <v>0.000000</v>
      </c>
      <c r="Y10" t="str">
        <v>0.000000</v>
      </c>
      <c r="Z10" t="str">
        <v>0.000000</v>
      </c>
      <c r="AA10" t="str">
        <v>139.768845</v>
      </c>
      <c r="AB10" t="str">
        <v>606.620911</v>
      </c>
      <c r="AC10" t="str">
        <v>0.769594</v>
      </c>
      <c r="AD10" t="str">
        <v>0.5</v>
      </c>
      <c r="AE10" t="str">
        <v>0.80</v>
      </c>
      <c r="AF10" t="str">
        <f>AC10*AD10*AE10*AQ10</f>
        <v>15.867025</v>
      </c>
      <c r="AG10" t="str">
        <v>1.000000</v>
      </c>
      <c r="AH10" t="str">
        <v>74.51</v>
      </c>
      <c r="AI10" t="str">
        <v>72.23</v>
      </c>
      <c r="AJ10" t="str">
        <v>24.46</v>
      </c>
      <c r="AK10" t="str">
        <v>23.89</v>
      </c>
      <c r="AL10" t="str">
        <f>(AK10-AJ10)*(AJ10*0+0)+AK10</f>
        <v>23.89</v>
      </c>
      <c r="AM10" t="str">
        <v>100.33</v>
      </c>
      <c r="AN10" t="str">
        <v>80.0</v>
      </c>
      <c r="AO10" t="str">
        <v>67.4</v>
      </c>
      <c r="AP10" t="str">
        <v>15.8</v>
      </c>
      <c r="AQ10" t="str">
        <v>52</v>
      </c>
      <c r="AR10" t="str">
        <v>3.733</v>
      </c>
      <c r="AS10" t="str">
        <v>08:20:52</v>
      </c>
      <c r="AT10" t="str">
        <v>2025-01-15</v>
      </c>
      <c r="AU10" t="str">
        <v>-1.93</v>
      </c>
      <c r="AV10" t="str">
        <v>1</v>
      </c>
      <c r="AW10" t="str">
        <v>-0.002</v>
      </c>
      <c r="AX10" t="str">
        <v>-0.000</v>
      </c>
      <c r="AY10" t="str">
        <v>-0.005</v>
      </c>
      <c r="AZ10" t="str">
        <v>0.285</v>
      </c>
      <c r="BA10" t="str">
        <v>0.235</v>
      </c>
      <c r="BB10" t="str">
        <v>0.401</v>
      </c>
      <c r="BC10" t="str">
        <v>1</v>
      </c>
      <c r="BD10" t="str">
        <v>75</v>
      </c>
      <c r="BE10" t="str">
        <v>0.001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rectangular</v>
      </c>
      <c r="BP10" t="str">
        <v>7000</v>
      </c>
      <c r="BQ10" t="str">
        <v>500</v>
      </c>
      <c r="BR10" t="str">
        <v>1.000000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2.471968</v>
      </c>
      <c r="CD10" t="str">
        <v>2.517731</v>
      </c>
      <c r="CE10" t="str">
        <v>1.075394</v>
      </c>
      <c r="CF10" t="str">
        <v>0.735701</v>
      </c>
      <c r="CG10" t="str">
        <v>0.278689</v>
      </c>
      <c r="CH10" t="str">
        <v>-0.004540</v>
      </c>
      <c r="CI10" t="str">
        <v>0.112250</v>
      </c>
      <c r="CJ10" t="str">
        <v>0.152182</v>
      </c>
      <c r="CK10" t="str">
        <v>139.768845</v>
      </c>
      <c r="CL10" t="str">
        <v>0.001147</v>
      </c>
      <c r="CM10" t="str">
        <v>2.363673</v>
      </c>
      <c r="CN10" t="str">
        <v>0.000005</v>
      </c>
      <c r="CO10" t="str">
        <v>1.000000</v>
      </c>
      <c r="CP10" t="str">
        <v>2.399535</v>
      </c>
      <c r="CQ10" t="str">
        <v>0.000012</v>
      </c>
      <c r="CR10" t="str">
        <v>1.000000</v>
      </c>
      <c r="CS10" t="str">
        <v>0.601056</v>
      </c>
      <c r="CT10" t="str">
        <v>0.600294</v>
      </c>
      <c r="CU10" t="str">
        <v>0.107352</v>
      </c>
      <c r="CV10" t="str">
        <v>0.000000</v>
      </c>
      <c r="CW10" t="str">
        <v>PSF-01163_20250115082754_c6b</v>
      </c>
      <c r="CX10" t="str">
        <v>PFA-00994</v>
      </c>
      <c r="CY10" t="str">
        <v>PSA-00994</v>
      </c>
      <c r="CZ10" t="str">
        <v>PSF-01163</v>
      </c>
      <c r="DA10" t="str">
        <v>RHS-01998</v>
      </c>
      <c r="DB10" t="str">
        <v>3.0.0</v>
      </c>
      <c r="DC10" t="str">
        <v>2025-01-13T08:33:48.201Z</v>
      </c>
    </row>
    <row r="11">
      <c r="A11" t="str">
        <v>8</v>
      </c>
      <c r="B11" t="str">
        <v>08:28:43</v>
      </c>
      <c r="C11" t="str">
        <v>2025-01-15</v>
      </c>
      <c r="D11" t="str">
        <v>K_lowfl_medbth</v>
      </c>
      <c r="E11" t="str">
        <v>Karina Guo</v>
      </c>
      <c r="F11" t="str">
        <v/>
      </c>
      <c r="G11" t="str">
        <v/>
      </c>
      <c r="H11" t="str">
        <v>667</v>
      </c>
      <c r="I11" t="str">
        <v>Mid</v>
      </c>
      <c r="J11" t="str">
        <f>1/((1/L11)-(1/K11))</f>
        <v>0.138431</v>
      </c>
      <c r="K11" t="str">
        <f>BH11+(BI11*AN11)+(BJ11*AN11*POWER(V11,2))+(BK11*AN11*V11)+(BL11*POWER(AN11,2))</f>
        <v>1.906080</v>
      </c>
      <c r="L11" t="str">
        <f>((M11/1000)*(1000-((T11+S11)/2)))/(T11-S11)</f>
        <v>0.129058</v>
      </c>
      <c r="M11" t="str">
        <f>(AN11*(S11-R11))/(100*U11*(1000-S11))*1000</f>
        <v>0.967539</v>
      </c>
      <c r="N11" t="str">
        <v>2.306614</v>
      </c>
      <c r="O11" t="str">
        <v>2.254246</v>
      </c>
      <c r="P11" t="str">
        <f>0.61365*EXP((17.502*AL11)/(240.97+AL11))</f>
        <v>3.038635</v>
      </c>
      <c r="Q11" t="str">
        <f>P11-N11</f>
        <v>0.732021</v>
      </c>
      <c r="R11" t="str">
        <v>22.471567</v>
      </c>
      <c r="S11" t="str">
        <v>22.993595</v>
      </c>
      <c r="T11" t="str">
        <f>(P11/AM11)*1000</f>
        <v>30.290783</v>
      </c>
      <c r="U11" t="str">
        <f>V11*BG11</f>
        <v>0.441786</v>
      </c>
      <c r="V11" t="str">
        <v>7.500000</v>
      </c>
      <c r="W11" t="str">
        <v>PSF-01163_20250115082843_af6</v>
      </c>
      <c r="X11" t="str">
        <v>0.000000</v>
      </c>
      <c r="Y11" t="str">
        <v>0.000000</v>
      </c>
      <c r="Z11" t="str">
        <v>0.000000</v>
      </c>
      <c r="AA11" t="str">
        <v>157.604813</v>
      </c>
      <c r="AB11" t="str">
        <v>637.722046</v>
      </c>
      <c r="AC11" t="str">
        <v>0.752863</v>
      </c>
      <c r="AD11" t="str">
        <v>0.5</v>
      </c>
      <c r="AE11" t="str">
        <v>0.80</v>
      </c>
      <c r="AF11" t="str">
        <f>AC11*AD11*AE11*AQ11</f>
        <v>13.044807</v>
      </c>
      <c r="AG11" t="str">
        <v>1.000000</v>
      </c>
      <c r="AH11" t="str">
        <v>73.77</v>
      </c>
      <c r="AI11" t="str">
        <v>72.10</v>
      </c>
      <c r="AJ11" t="str">
        <v>24.72</v>
      </c>
      <c r="AK11" t="str">
        <v>24.24</v>
      </c>
      <c r="AL11" t="str">
        <f>(AK11-AJ11)*(AJ11*0+0)+AK11</f>
        <v>24.24</v>
      </c>
      <c r="AM11" t="str">
        <v>100.32</v>
      </c>
      <c r="AN11" t="str">
        <v>80.0</v>
      </c>
      <c r="AO11" t="str">
        <v>76.8</v>
      </c>
      <c r="AP11" t="str">
        <v>3.9</v>
      </c>
      <c r="AQ11" t="str">
        <v>43</v>
      </c>
      <c r="AR11" t="str">
        <v>3.732</v>
      </c>
      <c r="AS11" t="str">
        <v>08:20:52</v>
      </c>
      <c r="AT11" t="str">
        <v>2025-01-15</v>
      </c>
      <c r="AU11" t="str">
        <v>-1.93</v>
      </c>
      <c r="AV11" t="str">
        <v>1</v>
      </c>
      <c r="AW11" t="str">
        <v>-0.000</v>
      </c>
      <c r="AX11" t="str">
        <v>-0.000</v>
      </c>
      <c r="AY11" t="str">
        <v>-0.004</v>
      </c>
      <c r="AZ11" t="str">
        <v>0.087</v>
      </c>
      <c r="BA11" t="str">
        <v>0.111</v>
      </c>
      <c r="BB11" t="str">
        <v>0.447</v>
      </c>
      <c r="BC11" t="str">
        <v>1</v>
      </c>
      <c r="BD11" t="str">
        <v>75</v>
      </c>
      <c r="BE11" t="str">
        <v>0.001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rectangular</v>
      </c>
      <c r="BP11" t="str">
        <v>7000</v>
      </c>
      <c r="BQ11" t="str">
        <v>500</v>
      </c>
      <c r="BR11" t="str">
        <v>1.000000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2.471750</v>
      </c>
      <c r="CD11" t="str">
        <v>2.516687</v>
      </c>
      <c r="CE11" t="str">
        <v>1.075165</v>
      </c>
      <c r="CF11" t="str">
        <v>0.756076</v>
      </c>
      <c r="CG11" t="str">
        <v>0.275810</v>
      </c>
      <c r="CH11" t="str">
        <v>-0.003483</v>
      </c>
      <c r="CI11" t="str">
        <v>0.117948</v>
      </c>
      <c r="CJ11" t="str">
        <v>0.145027</v>
      </c>
      <c r="CK11" t="str">
        <v>157.604813</v>
      </c>
      <c r="CL11" t="str">
        <v>0.001157</v>
      </c>
      <c r="CM11" t="str">
        <v>2.363673</v>
      </c>
      <c r="CN11" t="str">
        <v>0.000005</v>
      </c>
      <c r="CO11" t="str">
        <v>1.000000</v>
      </c>
      <c r="CP11" t="str">
        <v>2.399535</v>
      </c>
      <c r="CQ11" t="str">
        <v>0.000012</v>
      </c>
      <c r="CR11" t="str">
        <v>1.000000</v>
      </c>
      <c r="CS11" t="str">
        <v>0.601056</v>
      </c>
      <c r="CT11" t="str">
        <v>0.600294</v>
      </c>
      <c r="CU11" t="str">
        <v>0.107352</v>
      </c>
      <c r="CV11" t="str">
        <v>0.000000</v>
      </c>
      <c r="CW11" t="str">
        <v>PSF-01163_20250115082843_af6</v>
      </c>
      <c r="CX11" t="str">
        <v>PFA-00994</v>
      </c>
      <c r="CY11" t="str">
        <v>PSA-00994</v>
      </c>
      <c r="CZ11" t="str">
        <v>PSF-01163</v>
      </c>
      <c r="DA11" t="str">
        <v>RHS-01998</v>
      </c>
      <c r="DB11" t="str">
        <v>3.0.0</v>
      </c>
      <c r="DC11" t="str">
        <v>2025-01-13T08:33:48.201Z</v>
      </c>
    </row>
    <row r="12">
      <c r="A12" t="str">
        <v>9</v>
      </c>
      <c r="B12" t="str">
        <v>08:29:08</v>
      </c>
      <c r="C12" t="str">
        <v>2025-01-15</v>
      </c>
      <c r="D12" t="str">
        <v>K_lowfl_medbth</v>
      </c>
      <c r="E12" t="str">
        <v>Karina Guo</v>
      </c>
      <c r="F12" t="str">
        <v/>
      </c>
      <c r="G12" t="str">
        <v/>
      </c>
      <c r="H12" t="str">
        <v>667</v>
      </c>
      <c r="I12" t="str">
        <v>Mid</v>
      </c>
      <c r="J12" t="str">
        <f>1/((1/L12)-(1/K12))</f>
        <v>0.156111</v>
      </c>
      <c r="K12" t="str">
        <f>BH12+(BI12*AN12)+(BJ12*AN12*POWER(V12,2))+(BK12*AN12*V12)+(BL12*POWER(AN12,2))</f>
        <v>1.903659</v>
      </c>
      <c r="L12" t="str">
        <f>((M12/1000)*(1000-((T12+S12)/2)))/(T12-S12)</f>
        <v>0.144279</v>
      </c>
      <c r="M12" t="str">
        <f>(AN12*(S12-R12))/(100*U12*(1000-S12))*1000</f>
        <v>1.043383</v>
      </c>
      <c r="N12" t="str">
        <v>2.339770</v>
      </c>
      <c r="O12" t="str">
        <v>2.283223</v>
      </c>
      <c r="P12" t="str">
        <f>0.61365*EXP((17.502*AL12)/(240.97+AL12))</f>
        <v>3.045758</v>
      </c>
      <c r="Q12" t="str">
        <f>P12-N12</f>
        <v>0.705988</v>
      </c>
      <c r="R12" t="str">
        <v>22.760139</v>
      </c>
      <c r="S12" t="str">
        <v>23.323822</v>
      </c>
      <c r="T12" t="str">
        <f>(P12/AM12)*1000</f>
        <v>30.361410</v>
      </c>
      <c r="U12" t="str">
        <f>V12*BG12</f>
        <v>0.441786</v>
      </c>
      <c r="V12" t="str">
        <v>7.500000</v>
      </c>
      <c r="W12" t="str">
        <v>PSF-01163_20250115082908_026</v>
      </c>
      <c r="X12" t="str">
        <v>0.000000</v>
      </c>
      <c r="Y12" t="str">
        <v>0.000000</v>
      </c>
      <c r="Z12" t="str">
        <v>0.000000</v>
      </c>
      <c r="AA12" t="str">
        <v>143.319366</v>
      </c>
      <c r="AB12" t="str">
        <v>599.244812</v>
      </c>
      <c r="AC12" t="str">
        <v>0.760833</v>
      </c>
      <c r="AD12" t="str">
        <v>0.5</v>
      </c>
      <c r="AE12" t="str">
        <v>0.80</v>
      </c>
      <c r="AF12" t="str">
        <f>AC12*AD12*AE12*AQ12</f>
        <v>13.966017</v>
      </c>
      <c r="AG12" t="str">
        <v>1.000000</v>
      </c>
      <c r="AH12" t="str">
        <v>74.23</v>
      </c>
      <c r="AI12" t="str">
        <v>72.44</v>
      </c>
      <c r="AJ12" t="str">
        <v>24.85</v>
      </c>
      <c r="AK12" t="str">
        <v>24.28</v>
      </c>
      <c r="AL12" t="str">
        <f>(AK12-AJ12)*(AJ12*0+0)+AK12</f>
        <v>24.28</v>
      </c>
      <c r="AM12" t="str">
        <v>100.32</v>
      </c>
      <c r="AN12" t="str">
        <v>79.9</v>
      </c>
      <c r="AO12" t="str">
        <v>79.7</v>
      </c>
      <c r="AP12" t="str">
        <v>0.3</v>
      </c>
      <c r="AQ12" t="str">
        <v>46</v>
      </c>
      <c r="AR12" t="str">
        <v>3.731</v>
      </c>
      <c r="AS12" t="str">
        <v>08:20:52</v>
      </c>
      <c r="AT12" t="str">
        <v>2025-01-15</v>
      </c>
      <c r="AU12" t="str">
        <v>-1.93</v>
      </c>
      <c r="AV12" t="str">
        <v>1</v>
      </c>
      <c r="AW12" t="str">
        <v>-0.002</v>
      </c>
      <c r="AX12" t="str">
        <v>0.001</v>
      </c>
      <c r="AY12" t="str">
        <v>-0.004</v>
      </c>
      <c r="AZ12" t="str">
        <v>-0.022</v>
      </c>
      <c r="BA12" t="str">
        <v>0.027</v>
      </c>
      <c r="BB12" t="str">
        <v>-0.137</v>
      </c>
      <c r="BC12" t="str">
        <v>1</v>
      </c>
      <c r="BD12" t="str">
        <v>75</v>
      </c>
      <c r="BE12" t="str">
        <v>0.001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rectangular</v>
      </c>
      <c r="BP12" t="str">
        <v>7000</v>
      </c>
      <c r="BQ12" t="str">
        <v>500</v>
      </c>
      <c r="BR12" t="str">
        <v>1.000000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2.472167</v>
      </c>
      <c r="CD12" t="str">
        <v>2.517283</v>
      </c>
      <c r="CE12" t="str">
        <v>1.074264</v>
      </c>
      <c r="CF12" t="str">
        <v>0.762230</v>
      </c>
      <c r="CG12" t="str">
        <v>0.274321</v>
      </c>
      <c r="CH12" t="str">
        <v>-0.004563</v>
      </c>
      <c r="CI12" t="str">
        <v>0.120827</v>
      </c>
      <c r="CJ12" t="str">
        <v>0.147265</v>
      </c>
      <c r="CK12" t="str">
        <v>143.319366</v>
      </c>
      <c r="CL12" t="str">
        <v>0.001156</v>
      </c>
      <c r="CM12" t="str">
        <v>2.363673</v>
      </c>
      <c r="CN12" t="str">
        <v>0.000005</v>
      </c>
      <c r="CO12" t="str">
        <v>1.000000</v>
      </c>
      <c r="CP12" t="str">
        <v>2.399535</v>
      </c>
      <c r="CQ12" t="str">
        <v>0.000012</v>
      </c>
      <c r="CR12" t="str">
        <v>1.000000</v>
      </c>
      <c r="CS12" t="str">
        <v>0.601056</v>
      </c>
      <c r="CT12" t="str">
        <v>0.600294</v>
      </c>
      <c r="CU12" t="str">
        <v>0.107352</v>
      </c>
      <c r="CV12" t="str">
        <v>0.000000</v>
      </c>
      <c r="CW12" t="str">
        <v>PSF-01163_20250115082908_026</v>
      </c>
      <c r="CX12" t="str">
        <v>PFA-00994</v>
      </c>
      <c r="CY12" t="str">
        <v>PSA-00994</v>
      </c>
      <c r="CZ12" t="str">
        <v>PSF-01163</v>
      </c>
      <c r="DA12" t="str">
        <v>RHS-01998</v>
      </c>
      <c r="DB12" t="str">
        <v>3.0.0</v>
      </c>
      <c r="DC12" t="str">
        <v>2025-01-13T08:33:48.201Z</v>
      </c>
    </row>
    <row r="13">
      <c r="A13" t="str">
        <v>10</v>
      </c>
      <c r="B13" t="str">
        <v>08:30:52</v>
      </c>
      <c r="C13" t="str">
        <v>2025-01-15</v>
      </c>
      <c r="D13" t="str">
        <v>K_lowfl_medbth</v>
      </c>
      <c r="E13" t="str">
        <v>Karina Guo</v>
      </c>
      <c r="F13" t="str">
        <v>Remove_res</v>
      </c>
      <c r="G13" t="str">
        <v/>
      </c>
      <c r="H13" t="str">
        <v>062</v>
      </c>
      <c r="I13" t="str">
        <v>Low</v>
      </c>
      <c r="J13" t="str">
        <f>1/((1/L13)-(1/K13))</f>
        <v>0.098495</v>
      </c>
      <c r="K13" t="str">
        <f>BH13+(BI13*AN13)+(BJ13*AN13*POWER(V13,2))+(BK13*AN13*V13)+(BL13*POWER(AN13,2))</f>
        <v>1.900685</v>
      </c>
      <c r="L13" t="str">
        <f>((M13/1000)*(1000-((T13+S13)/2)))/(T13-S13)</f>
        <v>0.093642</v>
      </c>
      <c r="M13" t="str">
        <f>(AN13*(S13-R13))/(100*U13*(1000-S13))*1000</f>
        <v>0.787724</v>
      </c>
      <c r="N13" t="str">
        <v>2.361362</v>
      </c>
      <c r="O13" t="str">
        <v>2.318589</v>
      </c>
      <c r="P13" t="str">
        <f>0.61365*EXP((17.502*AL13)/(240.97+AL13))</f>
        <v>3.181998</v>
      </c>
      <c r="Q13" t="str">
        <f>P13-N13</f>
        <v>0.820636</v>
      </c>
      <c r="R13" t="str">
        <v>23.110498</v>
      </c>
      <c r="S13" t="str">
        <v>23.536829</v>
      </c>
      <c r="T13" t="str">
        <f>(P13/AM13)*1000</f>
        <v>31.716499</v>
      </c>
      <c r="U13" t="str">
        <f>V13*BG13</f>
        <v>0.441786</v>
      </c>
      <c r="V13" t="str">
        <v>7.500000</v>
      </c>
      <c r="W13" t="str">
        <v>PSF-01163_20250115083052_901</v>
      </c>
      <c r="X13" t="str">
        <v>0.000000</v>
      </c>
      <c r="Y13" t="str">
        <v>0.000000</v>
      </c>
      <c r="Z13" t="str">
        <v>0.000000</v>
      </c>
      <c r="AA13" t="str">
        <v>0.957012</v>
      </c>
      <c r="AB13" t="str">
        <v>1.878977</v>
      </c>
      <c r="AC13" t="str">
        <v>0.490674</v>
      </c>
      <c r="AD13" t="str">
        <v>0.5</v>
      </c>
      <c r="AE13" t="str">
        <v>0.80</v>
      </c>
      <c r="AF13" t="str">
        <f>AC13*AD13*AE13*AQ13</f>
        <v>10.522992</v>
      </c>
      <c r="AG13" t="str">
        <v>1.000000</v>
      </c>
      <c r="AH13" t="str">
        <v>72.77</v>
      </c>
      <c r="AI13" t="str">
        <v>71.45</v>
      </c>
      <c r="AJ13" t="str">
        <v>25.34</v>
      </c>
      <c r="AK13" t="str">
        <v>25.01</v>
      </c>
      <c r="AL13" t="str">
        <f>(AK13-AJ13)*(AJ13*0+0)+AK13</f>
        <v>25.01</v>
      </c>
      <c r="AM13" t="str">
        <v>100.33</v>
      </c>
      <c r="AN13" t="str">
        <v>79.7</v>
      </c>
      <c r="AO13" t="str">
        <v>-22.7</v>
      </c>
      <c r="AP13" t="str">
        <v>128.5</v>
      </c>
      <c r="AQ13" t="str">
        <v>54</v>
      </c>
      <c r="AR13" t="str">
        <v>3.728</v>
      </c>
      <c r="AS13" t="str">
        <v>08:20:52</v>
      </c>
      <c r="AT13" t="str">
        <v>2025-01-15</v>
      </c>
      <c r="AU13" t="str">
        <v>-1.93</v>
      </c>
      <c r="AV13" t="str">
        <v>1</v>
      </c>
      <c r="AW13" t="str">
        <v>0.001</v>
      </c>
      <c r="AX13" t="str">
        <v>0.000</v>
      </c>
      <c r="AY13" t="str">
        <v>-0.006</v>
      </c>
      <c r="AZ13" t="str">
        <v>-0.395</v>
      </c>
      <c r="BA13" t="str">
        <v>-0.182</v>
      </c>
      <c r="BB13" t="str">
        <v>-0.499</v>
      </c>
      <c r="BC13" t="str">
        <v>1</v>
      </c>
      <c r="BD13" t="str">
        <v>75</v>
      </c>
      <c r="BE13" t="str">
        <v>0.001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rectangular</v>
      </c>
      <c r="BP13" t="str">
        <v>7000</v>
      </c>
      <c r="BQ13" t="str">
        <v>500</v>
      </c>
      <c r="BR13" t="str">
        <v>1.000000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2.470788</v>
      </c>
      <c r="CD13" t="str">
        <v>2.515226</v>
      </c>
      <c r="CE13" t="str">
        <v>1.073160</v>
      </c>
      <c r="CF13" t="str">
        <v>0.557992</v>
      </c>
      <c r="CG13" t="str">
        <v>0.269031</v>
      </c>
      <c r="CH13" t="str">
        <v>-0.001806</v>
      </c>
      <c r="CI13" t="str">
        <v>0.132780</v>
      </c>
      <c r="CJ13" t="str">
        <v>0.153984</v>
      </c>
      <c r="CK13" t="str">
        <v>0.957012</v>
      </c>
      <c r="CL13" t="str">
        <v>0.001160</v>
      </c>
      <c r="CM13" t="str">
        <v>2.363673</v>
      </c>
      <c r="CN13" t="str">
        <v>0.000005</v>
      </c>
      <c r="CO13" t="str">
        <v>1.000000</v>
      </c>
      <c r="CP13" t="str">
        <v>2.399535</v>
      </c>
      <c r="CQ13" t="str">
        <v>0.000012</v>
      </c>
      <c r="CR13" t="str">
        <v>1.000000</v>
      </c>
      <c r="CS13" t="str">
        <v>0.601056</v>
      </c>
      <c r="CT13" t="str">
        <v>0.600294</v>
      </c>
      <c r="CU13" t="str">
        <v>0.107352</v>
      </c>
      <c r="CV13" t="str">
        <v>0.000000</v>
      </c>
      <c r="CW13" t="str">
        <v>PSF-01163_20250115083052_901</v>
      </c>
      <c r="CX13" t="str">
        <v>PFA-00994</v>
      </c>
      <c r="CY13" t="str">
        <v>PSA-00994</v>
      </c>
      <c r="CZ13" t="str">
        <v>PSF-01163</v>
      </c>
      <c r="DA13" t="str">
        <v>RHS-01998</v>
      </c>
      <c r="DB13" t="str">
        <v>3.0.0</v>
      </c>
      <c r="DC13" t="str">
        <v>2025-01-13T08:33:48.201Z</v>
      </c>
    </row>
    <row r="14">
      <c r="A14" t="str">
        <v>11</v>
      </c>
      <c r="B14" t="str">
        <v>08:31:32</v>
      </c>
      <c r="C14" t="str">
        <v>2025-01-15</v>
      </c>
      <c r="D14" t="str">
        <v>K_lowfl_medbth</v>
      </c>
      <c r="E14" t="str">
        <v>Karina Guo</v>
      </c>
      <c r="F14" t="str">
        <v/>
      </c>
      <c r="G14" t="str">
        <v/>
      </c>
      <c r="H14" t="str">
        <v>062</v>
      </c>
      <c r="I14" t="str">
        <v>Low</v>
      </c>
      <c r="J14" t="str">
        <f>1/((1/L14)-(1/K14))</f>
        <v>0.093726</v>
      </c>
      <c r="K14" t="str">
        <f>BH14+(BI14*AN14)+(BJ14*AN14*POWER(V14,2))+(BK14*AN14*V14)+(BL14*POWER(AN14,2))</f>
        <v>1.902566</v>
      </c>
      <c r="L14" t="str">
        <f>((M14/1000)*(1000-((T14+S14)/2)))/(T14-S14)</f>
        <v>0.089325</v>
      </c>
      <c r="M14" t="str">
        <f>(AN14*(S14-R14))/(100*U14*(1000-S14))*1000</f>
        <v>0.671538</v>
      </c>
      <c r="N14" t="str">
        <v>2.390151</v>
      </c>
      <c r="O14" t="str">
        <v>2.353744</v>
      </c>
      <c r="P14" t="str">
        <f>0.61365*EXP((17.502*AL14)/(240.97+AL14))</f>
        <v>3.123676</v>
      </c>
      <c r="Q14" t="str">
        <f>P14-N14</f>
        <v>0.733525</v>
      </c>
      <c r="R14" t="str">
        <v>23.460609</v>
      </c>
      <c r="S14" t="str">
        <v>23.823488</v>
      </c>
      <c r="T14" t="str">
        <f>(P14/AM14)*1000</f>
        <v>31.134798</v>
      </c>
      <c r="U14" t="str">
        <f>V14*BG14</f>
        <v>0.441786</v>
      </c>
      <c r="V14" t="str">
        <v>7.500000</v>
      </c>
      <c r="W14" t="str">
        <v>PSF-01163_20250115083132_476</v>
      </c>
      <c r="X14" t="str">
        <v>0.000000</v>
      </c>
      <c r="Y14" t="str">
        <v>0.000000</v>
      </c>
      <c r="Z14" t="str">
        <v>0.000000</v>
      </c>
      <c r="AA14" t="str">
        <v>159.863953</v>
      </c>
      <c r="AB14" t="str">
        <v>625.079529</v>
      </c>
      <c r="AC14" t="str">
        <v>0.744250</v>
      </c>
      <c r="AD14" t="str">
        <v>0.5</v>
      </c>
      <c r="AE14" t="str">
        <v>0.80</v>
      </c>
      <c r="AF14" t="str">
        <f>AC14*AD14*AE14*AQ14</f>
        <v>14.637705</v>
      </c>
      <c r="AG14" t="str">
        <v>1.000000</v>
      </c>
      <c r="AH14" t="str">
        <v>72.82</v>
      </c>
      <c r="AI14" t="str">
        <v>71.71</v>
      </c>
      <c r="AJ14" t="str">
        <v>25.53</v>
      </c>
      <c r="AK14" t="str">
        <v>24.70</v>
      </c>
      <c r="AL14" t="str">
        <f>(AK14-AJ14)*(AJ14*0+0)+AK14</f>
        <v>24.70</v>
      </c>
      <c r="AM14" t="str">
        <v>100.33</v>
      </c>
      <c r="AN14" t="str">
        <v>79.8</v>
      </c>
      <c r="AO14" t="str">
        <v>79.7</v>
      </c>
      <c r="AP14" t="str">
        <v>0.2</v>
      </c>
      <c r="AQ14" t="str">
        <v>49</v>
      </c>
      <c r="AR14" t="str">
        <v>3.727</v>
      </c>
      <c r="AS14" t="str">
        <v>08:31:18</v>
      </c>
      <c r="AT14" t="str">
        <v>2025-01-15</v>
      </c>
      <c r="AU14" t="str">
        <v>-2.22</v>
      </c>
      <c r="AV14" t="str">
        <v>1</v>
      </c>
      <c r="AW14" t="str">
        <v>-0.000</v>
      </c>
      <c r="AX14" t="str">
        <v>0.000</v>
      </c>
      <c r="AY14" t="str">
        <v>-0.005</v>
      </c>
      <c r="AZ14" t="str">
        <v>0.181</v>
      </c>
      <c r="BA14" t="str">
        <v>0.475</v>
      </c>
      <c r="BB14" t="str">
        <v>0.940</v>
      </c>
      <c r="BC14" t="str">
        <v>1</v>
      </c>
      <c r="BD14" t="str">
        <v>75</v>
      </c>
      <c r="BE14" t="str">
        <v>0.001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rectangular</v>
      </c>
      <c r="BP14" t="str">
        <v>7000</v>
      </c>
      <c r="BQ14" t="str">
        <v>500</v>
      </c>
      <c r="BR14" t="str">
        <v>1.000000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2.471091</v>
      </c>
      <c r="CD14" t="str">
        <v>2.515648</v>
      </c>
      <c r="CE14" t="str">
        <v>1.073858</v>
      </c>
      <c r="CF14" t="str">
        <v>0.762230</v>
      </c>
      <c r="CG14" t="str">
        <v>0.266975</v>
      </c>
      <c r="CH14" t="str">
        <v>-0.007464</v>
      </c>
      <c r="CI14" t="str">
        <v>0.137179</v>
      </c>
      <c r="CJ14" t="str">
        <v>0.150117</v>
      </c>
      <c r="CK14" t="str">
        <v>159.863953</v>
      </c>
      <c r="CL14" t="str">
        <v>0.001182</v>
      </c>
      <c r="CM14" t="str">
        <v>2.363673</v>
      </c>
      <c r="CN14" t="str">
        <v>0.000005</v>
      </c>
      <c r="CO14" t="str">
        <v>1.000000</v>
      </c>
      <c r="CP14" t="str">
        <v>2.399535</v>
      </c>
      <c r="CQ14" t="str">
        <v>0.000012</v>
      </c>
      <c r="CR14" t="str">
        <v>1.000000</v>
      </c>
      <c r="CS14" t="str">
        <v>0.601056</v>
      </c>
      <c r="CT14" t="str">
        <v>0.600294</v>
      </c>
      <c r="CU14" t="str">
        <v>0.107352</v>
      </c>
      <c r="CV14" t="str">
        <v>0.000000</v>
      </c>
      <c r="CW14" t="str">
        <v>PSF-01163_20250115083132_476</v>
      </c>
      <c r="CX14" t="str">
        <v>PFA-00994</v>
      </c>
      <c r="CY14" t="str">
        <v>PSA-00994</v>
      </c>
      <c r="CZ14" t="str">
        <v>PSF-01163</v>
      </c>
      <c r="DA14" t="str">
        <v>RHS-01998</v>
      </c>
      <c r="DB14" t="str">
        <v>3.0.0</v>
      </c>
      <c r="DC14" t="str">
        <v>2025-01-13T08:33:48.201Z</v>
      </c>
    </row>
    <row r="15">
      <c r="A15" t="str">
        <v>12</v>
      </c>
      <c r="B15" t="str">
        <v>08:32:12</v>
      </c>
      <c r="C15" t="str">
        <v>2025-01-15</v>
      </c>
      <c r="D15" t="str">
        <v>K_lowfl_medbth</v>
      </c>
      <c r="E15" t="str">
        <v>Karina Guo</v>
      </c>
      <c r="F15" t="str">
        <v/>
      </c>
      <c r="G15" t="str">
        <v/>
      </c>
      <c r="H15" t="str">
        <v>062</v>
      </c>
      <c r="I15" t="str">
        <v>Low</v>
      </c>
      <c r="J15" t="str">
        <f>1/((1/L15)-(1/K15))</f>
        <v>0.078485</v>
      </c>
      <c r="K15" t="str">
        <f>BH15+(BI15*AN15)+(BJ15*AN15*POWER(V15,2))+(BK15*AN15*V15)+(BL15*POWER(AN15,2))</f>
        <v>1.903763</v>
      </c>
      <c r="L15" t="str">
        <f>((M15/1000)*(1000-((T15+S15)/2)))/(T15-S15)</f>
        <v>0.075377</v>
      </c>
      <c r="M15" t="str">
        <f>(AN15*(S15-R15))/(100*U15*(1000-S15))*1000</f>
        <v>0.607063</v>
      </c>
      <c r="N15" t="str">
        <v>2.410392</v>
      </c>
      <c r="O15" t="str">
        <v>2.377513</v>
      </c>
      <c r="P15" t="str">
        <f>0.61365*EXP((17.502*AL15)/(240.97+AL15))</f>
        <v>3.195839</v>
      </c>
      <c r="Q15" t="str">
        <f>P15-N15</f>
        <v>0.785448</v>
      </c>
      <c r="R15" t="str">
        <v>23.696930</v>
      </c>
      <c r="S15" t="str">
        <v>24.024633</v>
      </c>
      <c r="T15" t="str">
        <f>(P15/AM15)*1000</f>
        <v>31.853273</v>
      </c>
      <c r="U15" t="str">
        <f>V15*BG15</f>
        <v>0.441786</v>
      </c>
      <c r="V15" t="str">
        <v>7.500000</v>
      </c>
      <c r="W15" t="str">
        <v>PSF-01163_20250115083212_d5a</v>
      </c>
      <c r="X15" t="str">
        <v>0.000000</v>
      </c>
      <c r="Y15" t="str">
        <v>0.000000</v>
      </c>
      <c r="Z15" t="str">
        <v>0.000000</v>
      </c>
      <c r="AA15" t="str">
        <v>160.926102</v>
      </c>
      <c r="AB15" t="str">
        <v>608.514160</v>
      </c>
      <c r="AC15" t="str">
        <v>0.735543</v>
      </c>
      <c r="AD15" t="str">
        <v>0.5</v>
      </c>
      <c r="AE15" t="str">
        <v>0.80</v>
      </c>
      <c r="AF15" t="str">
        <f>AC15*AD15*AE15*AQ15</f>
        <v>15.407163</v>
      </c>
      <c r="AG15" t="str">
        <v>1.000000</v>
      </c>
      <c r="AH15" t="str">
        <v>72.64</v>
      </c>
      <c r="AI15" t="str">
        <v>71.65</v>
      </c>
      <c r="AJ15" t="str">
        <v>25.72</v>
      </c>
      <c r="AK15" t="str">
        <v>25.09</v>
      </c>
      <c r="AL15" t="str">
        <f>(AK15-AJ15)*(AJ15*0+0)+AK15</f>
        <v>25.09</v>
      </c>
      <c r="AM15" t="str">
        <v>100.33</v>
      </c>
      <c r="AN15" t="str">
        <v>79.9</v>
      </c>
      <c r="AO15" t="str">
        <v>79.5</v>
      </c>
      <c r="AP15" t="str">
        <v>0.5</v>
      </c>
      <c r="AQ15" t="str">
        <v>52</v>
      </c>
      <c r="AR15" t="str">
        <v>3.727</v>
      </c>
      <c r="AS15" t="str">
        <v>08:31:18</v>
      </c>
      <c r="AT15" t="str">
        <v>2025-01-15</v>
      </c>
      <c r="AU15" t="str">
        <v>-2.22</v>
      </c>
      <c r="AV15" t="str">
        <v>1</v>
      </c>
      <c r="AW15" t="str">
        <v>0.000</v>
      </c>
      <c r="AX15" t="str">
        <v>0.001</v>
      </c>
      <c r="AY15" t="str">
        <v>0.003</v>
      </c>
      <c r="AZ15" t="str">
        <v>0.289</v>
      </c>
      <c r="BA15" t="str">
        <v>0.795</v>
      </c>
      <c r="BB15" t="str">
        <v>1.213</v>
      </c>
      <c r="BC15" t="str">
        <v>1</v>
      </c>
      <c r="BD15" t="str">
        <v>75</v>
      </c>
      <c r="BE15" t="str">
        <v>0.001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rectangular</v>
      </c>
      <c r="BP15" t="str">
        <v>7000</v>
      </c>
      <c r="BQ15" t="str">
        <v>500</v>
      </c>
      <c r="BR15" t="str">
        <v>1.000000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2.470986</v>
      </c>
      <c r="CD15" t="str">
        <v>2.515384</v>
      </c>
      <c r="CE15" t="str">
        <v>1.074303</v>
      </c>
      <c r="CF15" t="str">
        <v>0.761846</v>
      </c>
      <c r="CG15" t="str">
        <v>0.265044</v>
      </c>
      <c r="CH15" t="str">
        <v>-0.005202</v>
      </c>
      <c r="CI15" t="str">
        <v>0.141639</v>
      </c>
      <c r="CJ15" t="str">
        <v>0.152898</v>
      </c>
      <c r="CK15" t="str">
        <v>160.926102</v>
      </c>
      <c r="CL15" t="str">
        <v>0.001161</v>
      </c>
      <c r="CM15" t="str">
        <v>2.363673</v>
      </c>
      <c r="CN15" t="str">
        <v>0.000005</v>
      </c>
      <c r="CO15" t="str">
        <v>1.000000</v>
      </c>
      <c r="CP15" t="str">
        <v>2.399535</v>
      </c>
      <c r="CQ15" t="str">
        <v>0.000012</v>
      </c>
      <c r="CR15" t="str">
        <v>1.000000</v>
      </c>
      <c r="CS15" t="str">
        <v>0.601056</v>
      </c>
      <c r="CT15" t="str">
        <v>0.600294</v>
      </c>
      <c r="CU15" t="str">
        <v>0.107352</v>
      </c>
      <c r="CV15" t="str">
        <v>0.000000</v>
      </c>
      <c r="CW15" t="str">
        <v>PSF-01163_20250115083212_d5a</v>
      </c>
      <c r="CX15" t="str">
        <v>PFA-00994</v>
      </c>
      <c r="CY15" t="str">
        <v>PSA-00994</v>
      </c>
      <c r="CZ15" t="str">
        <v>PSF-01163</v>
      </c>
      <c r="DA15" t="str">
        <v>RHS-01998</v>
      </c>
      <c r="DB15" t="str">
        <v>3.0.0</v>
      </c>
      <c r="DC15" t="str">
        <v>2025-01-13T08:33:48.201Z</v>
      </c>
    </row>
    <row r="16">
      <c r="A16" t="str">
        <v>13</v>
      </c>
      <c r="B16" t="str">
        <v>08:32:36</v>
      </c>
      <c r="C16" t="str">
        <v>2025-01-15</v>
      </c>
      <c r="D16" t="str">
        <v>K_lowfl_medbth</v>
      </c>
      <c r="E16" t="str">
        <v>Karina Guo</v>
      </c>
      <c r="F16" t="str">
        <v/>
      </c>
      <c r="G16" t="str">
        <v/>
      </c>
      <c r="H16" t="str">
        <v>062</v>
      </c>
      <c r="I16" t="str">
        <v>Low</v>
      </c>
      <c r="J16" t="str">
        <f>1/((1/L16)-(1/K16))</f>
        <v>0.085921</v>
      </c>
      <c r="K16" t="str">
        <f>BH16+(BI16*AN16)+(BJ16*AN16*POWER(V16,2))+(BK16*AN16*V16)+(BL16*POWER(AN16,2))</f>
        <v>1.901232</v>
      </c>
      <c r="L16" t="str">
        <f>((M16/1000)*(1000-((T16+S16)/2)))/(T16-S16)</f>
        <v>0.082206</v>
      </c>
      <c r="M16" t="str">
        <f>(AN16*(S16-R16))/(100*U16*(1000-S16))*1000</f>
        <v>0.654367</v>
      </c>
      <c r="N16" t="str">
        <v>2.434303</v>
      </c>
      <c r="O16" t="str">
        <v>2.398812</v>
      </c>
      <c r="P16" t="str">
        <f>0.61365*EXP((17.502*AL16)/(240.97+AL16))</f>
        <v>3.210437</v>
      </c>
      <c r="Q16" t="str">
        <f>P16-N16</f>
        <v>0.776134</v>
      </c>
      <c r="R16" t="str">
        <v>23.910233</v>
      </c>
      <c r="S16" t="str">
        <v>24.263992</v>
      </c>
      <c r="T16" t="str">
        <f>(P16/AM16)*1000</f>
        <v>32.000134</v>
      </c>
      <c r="U16" t="str">
        <f>V16*BG16</f>
        <v>0.441786</v>
      </c>
      <c r="V16" t="str">
        <v>7.500000</v>
      </c>
      <c r="W16" t="str">
        <v>PSF-01163_20250115083236_f29</v>
      </c>
      <c r="X16" t="str">
        <v>0.000000</v>
      </c>
      <c r="Y16" t="str">
        <v>0.000000</v>
      </c>
      <c r="Z16" t="str">
        <v>0.000000</v>
      </c>
      <c r="AA16" t="str">
        <v>156.996490</v>
      </c>
      <c r="AB16" t="str">
        <v>634.506592</v>
      </c>
      <c r="AC16" t="str">
        <v>0.752569</v>
      </c>
      <c r="AD16" t="str">
        <v>0.5</v>
      </c>
      <c r="AE16" t="str">
        <v>0.80</v>
      </c>
      <c r="AF16" t="str">
        <f>AC16*AD16*AE16*AQ16</f>
        <v>17.092319</v>
      </c>
      <c r="AG16" t="str">
        <v>1.000000</v>
      </c>
      <c r="AH16" t="str">
        <v>72.92</v>
      </c>
      <c r="AI16" t="str">
        <v>71.86</v>
      </c>
      <c r="AJ16" t="str">
        <v>25.82</v>
      </c>
      <c r="AK16" t="str">
        <v>25.16</v>
      </c>
      <c r="AL16" t="str">
        <f>(AK16-AJ16)*(AJ16*0+0)+AK16</f>
        <v>25.16</v>
      </c>
      <c r="AM16" t="str">
        <v>100.33</v>
      </c>
      <c r="AN16" t="str">
        <v>79.7</v>
      </c>
      <c r="AO16" t="str">
        <v>79.4</v>
      </c>
      <c r="AP16" t="str">
        <v>0.4</v>
      </c>
      <c r="AQ16" t="str">
        <v>57</v>
      </c>
      <c r="AR16" t="str">
        <v>3.726</v>
      </c>
      <c r="AS16" t="str">
        <v>08:31:18</v>
      </c>
      <c r="AT16" t="str">
        <v>2025-01-15</v>
      </c>
      <c r="AU16" t="str">
        <v>-2.22</v>
      </c>
      <c r="AV16" t="str">
        <v>1</v>
      </c>
      <c r="AW16" t="str">
        <v>0.001</v>
      </c>
      <c r="AX16" t="str">
        <v>-0.000</v>
      </c>
      <c r="AY16" t="str">
        <v>0.003</v>
      </c>
      <c r="AZ16" t="str">
        <v>0.361</v>
      </c>
      <c r="BA16" t="str">
        <v>0.970</v>
      </c>
      <c r="BB16" t="str">
        <v>1.735</v>
      </c>
      <c r="BC16" t="str">
        <v>1</v>
      </c>
      <c r="BD16" t="str">
        <v>75</v>
      </c>
      <c r="BE16" t="str">
        <v>0.001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rectangular</v>
      </c>
      <c r="BP16" t="str">
        <v>7000</v>
      </c>
      <c r="BQ16" t="str">
        <v>500</v>
      </c>
      <c r="BR16" t="str">
        <v>1.000000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2.471238</v>
      </c>
      <c r="CD16" t="str">
        <v>2.515745</v>
      </c>
      <c r="CE16" t="str">
        <v>1.073362</v>
      </c>
      <c r="CF16" t="str">
        <v>0.761745</v>
      </c>
      <c r="CG16" t="str">
        <v>0.263970</v>
      </c>
      <c r="CH16" t="str">
        <v>-0.005488</v>
      </c>
      <c r="CI16" t="str">
        <v>0.144226</v>
      </c>
      <c r="CJ16" t="str">
        <v>0.156736</v>
      </c>
      <c r="CK16" t="str">
        <v>156.996490</v>
      </c>
      <c r="CL16" t="str">
        <v>0.001145</v>
      </c>
      <c r="CM16" t="str">
        <v>2.363673</v>
      </c>
      <c r="CN16" t="str">
        <v>0.000005</v>
      </c>
      <c r="CO16" t="str">
        <v>1.000000</v>
      </c>
      <c r="CP16" t="str">
        <v>2.399535</v>
      </c>
      <c r="CQ16" t="str">
        <v>0.000012</v>
      </c>
      <c r="CR16" t="str">
        <v>1.000000</v>
      </c>
      <c r="CS16" t="str">
        <v>0.601056</v>
      </c>
      <c r="CT16" t="str">
        <v>0.600294</v>
      </c>
      <c r="CU16" t="str">
        <v>0.107352</v>
      </c>
      <c r="CV16" t="str">
        <v>0.000000</v>
      </c>
      <c r="CW16" t="str">
        <v>PSF-01163_20250115083236_f29</v>
      </c>
      <c r="CX16" t="str">
        <v>PFA-00994</v>
      </c>
      <c r="CY16" t="str">
        <v>PSA-00994</v>
      </c>
      <c r="CZ16" t="str">
        <v>PSF-01163</v>
      </c>
      <c r="DA16" t="str">
        <v>RHS-01998</v>
      </c>
      <c r="DB16" t="str">
        <v>3.0.0</v>
      </c>
      <c r="DC16" t="str">
        <v>2025-01-13T08:33:48.201Z</v>
      </c>
    </row>
    <row r="17">
      <c r="A17" t="str">
        <v>14</v>
      </c>
      <c r="B17" t="str">
        <v>08:33:32</v>
      </c>
      <c r="C17" t="str">
        <v>2025-01-15</v>
      </c>
      <c r="D17" t="str">
        <v>K_lowfl_medbth</v>
      </c>
      <c r="E17" t="str">
        <v>Karina Guo</v>
      </c>
      <c r="F17" t="str">
        <v/>
      </c>
      <c r="G17" t="str">
        <v/>
      </c>
      <c r="H17" t="str">
        <v>292</v>
      </c>
      <c r="I17" t="str">
        <v>Mid</v>
      </c>
      <c r="J17" t="str">
        <f>1/((1/L17)-(1/K17))</f>
        <v>0.136751</v>
      </c>
      <c r="K17" t="str">
        <f>BH17+(BI17*AN17)+(BJ17*AN17*POWER(V17,2))+(BK17*AN17*V17)+(BL17*POWER(AN17,2))</f>
        <v>1.903313</v>
      </c>
      <c r="L17" t="str">
        <f>((M17/1000)*(1000-((T17+S17)/2)))/(T17-S17)</f>
        <v>0.127585</v>
      </c>
      <c r="M17" t="str">
        <f>(AN17*(S17-R17))/(100*U17*(1000-S17))*1000</f>
        <v>0.963344</v>
      </c>
      <c r="N17" t="str">
        <v>2.451900</v>
      </c>
      <c r="O17" t="str">
        <v>2.399731</v>
      </c>
      <c r="P17" t="str">
        <f>0.61365*EXP((17.502*AL17)/(240.97+AL17))</f>
        <v>3.188170</v>
      </c>
      <c r="Q17" t="str">
        <f>P17-N17</f>
        <v>0.736269</v>
      </c>
      <c r="R17" t="str">
        <v>23.918144</v>
      </c>
      <c r="S17" t="str">
        <v>24.438114</v>
      </c>
      <c r="T17" t="str">
        <f>(P17/AM17)*1000</f>
        <v>31.776518</v>
      </c>
      <c r="U17" t="str">
        <f>V17*BG17</f>
        <v>0.441786</v>
      </c>
      <c r="V17" t="str">
        <v>7.500000</v>
      </c>
      <c r="W17" t="str">
        <v>PSF-01163_20250115083332_4d3</v>
      </c>
      <c r="X17" t="str">
        <v>0.000000</v>
      </c>
      <c r="Y17" t="str">
        <v>0.000000</v>
      </c>
      <c r="Z17" t="str">
        <v>0.000000</v>
      </c>
      <c r="AA17" t="str">
        <v>122.078415</v>
      </c>
      <c r="AB17" t="str">
        <v>567.222107</v>
      </c>
      <c r="AC17" t="str">
        <v>0.784778</v>
      </c>
      <c r="AD17" t="str">
        <v>0.5</v>
      </c>
      <c r="AE17" t="str">
        <v>0.80</v>
      </c>
      <c r="AF17" t="str">
        <f>AC17*AD17*AE17*AQ17</f>
        <v>17.330914</v>
      </c>
      <c r="AG17" t="str">
        <v>1.000000</v>
      </c>
      <c r="AH17" t="str">
        <v>72.50</v>
      </c>
      <c r="AI17" t="str">
        <v>70.96</v>
      </c>
      <c r="AJ17" t="str">
        <v>26.04</v>
      </c>
      <c r="AK17" t="str">
        <v>25.04</v>
      </c>
      <c r="AL17" t="str">
        <f>(AK17-AJ17)*(AJ17*0+0)+AK17</f>
        <v>25.04</v>
      </c>
      <c r="AM17" t="str">
        <v>100.33</v>
      </c>
      <c r="AN17" t="str">
        <v>79.8</v>
      </c>
      <c r="AO17" t="str">
        <v>77.5</v>
      </c>
      <c r="AP17" t="str">
        <v>3.0</v>
      </c>
      <c r="AQ17" t="str">
        <v>55</v>
      </c>
      <c r="AR17" t="str">
        <v>3.725</v>
      </c>
      <c r="AS17" t="str">
        <v>08:31:18</v>
      </c>
      <c r="AT17" t="str">
        <v>2025-01-15</v>
      </c>
      <c r="AU17" t="str">
        <v>-2.22</v>
      </c>
      <c r="AV17" t="str">
        <v>1</v>
      </c>
      <c r="AW17" t="str">
        <v>-0.001</v>
      </c>
      <c r="AX17" t="str">
        <v>-0.001</v>
      </c>
      <c r="AY17" t="str">
        <v>0.001</v>
      </c>
      <c r="AZ17" t="str">
        <v>-0.107</v>
      </c>
      <c r="BA17" t="str">
        <v>-0.156</v>
      </c>
      <c r="BB17" t="str">
        <v>-0.226</v>
      </c>
      <c r="BC17" t="str">
        <v>1</v>
      </c>
      <c r="BD17" t="str">
        <v>75</v>
      </c>
      <c r="BE17" t="str">
        <v>0.001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rectangular</v>
      </c>
      <c r="BP17" t="str">
        <v>7000</v>
      </c>
      <c r="BQ17" t="str">
        <v>500</v>
      </c>
      <c r="BR17" t="str">
        <v>1.000000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2.470018</v>
      </c>
      <c r="CD17" t="str">
        <v>2.515140</v>
      </c>
      <c r="CE17" t="str">
        <v>1.074136</v>
      </c>
      <c r="CF17" t="str">
        <v>0.757436</v>
      </c>
      <c r="CG17" t="str">
        <v>0.261675</v>
      </c>
      <c r="CH17" t="str">
        <v>-0.009283</v>
      </c>
      <c r="CI17" t="str">
        <v>0.150411</v>
      </c>
      <c r="CJ17" t="str">
        <v>0.155371</v>
      </c>
      <c r="CK17" t="str">
        <v>122.078415</v>
      </c>
      <c r="CL17" t="str">
        <v>0.001158</v>
      </c>
      <c r="CM17" t="str">
        <v>2.363673</v>
      </c>
      <c r="CN17" t="str">
        <v>0.000005</v>
      </c>
      <c r="CO17" t="str">
        <v>1.000000</v>
      </c>
      <c r="CP17" t="str">
        <v>2.399535</v>
      </c>
      <c r="CQ17" t="str">
        <v>0.000012</v>
      </c>
      <c r="CR17" t="str">
        <v>1.000000</v>
      </c>
      <c r="CS17" t="str">
        <v>0.601056</v>
      </c>
      <c r="CT17" t="str">
        <v>0.600294</v>
      </c>
      <c r="CU17" t="str">
        <v>0.107352</v>
      </c>
      <c r="CV17" t="str">
        <v>0.000000</v>
      </c>
      <c r="CW17" t="str">
        <v>PSF-01163_20250115083332_4d3</v>
      </c>
      <c r="CX17" t="str">
        <v>PFA-00994</v>
      </c>
      <c r="CY17" t="str">
        <v>PSA-00994</v>
      </c>
      <c r="CZ17" t="str">
        <v>PSF-01163</v>
      </c>
      <c r="DA17" t="str">
        <v>RHS-01998</v>
      </c>
      <c r="DB17" t="str">
        <v>3.0.0</v>
      </c>
      <c r="DC17" t="str">
        <v>2025-01-13T08:33:48.201Z</v>
      </c>
    </row>
    <row r="18">
      <c r="A18" t="str">
        <v>15</v>
      </c>
      <c r="B18" t="str">
        <v>08:35:22</v>
      </c>
      <c r="C18" t="str">
        <v>2025-01-15</v>
      </c>
      <c r="D18" t="str">
        <v>K_lowfl_medbth</v>
      </c>
      <c r="E18" t="str">
        <v>Karina Guo</v>
      </c>
      <c r="F18" t="str">
        <v/>
      </c>
      <c r="G18" t="str">
        <v/>
      </c>
      <c r="H18" t="str">
        <v>292</v>
      </c>
      <c r="I18" t="str">
        <v>Mid</v>
      </c>
      <c r="J18" t="str">
        <f>1/((1/L18)-(1/K18))</f>
        <v>0.118316</v>
      </c>
      <c r="K18" t="str">
        <f>BH18+(BI18*AN18)+(BJ18*AN18*POWER(V18,2))+(BK18*AN18*V18)+(BL18*POWER(AN18,2))</f>
        <v>1.898925</v>
      </c>
      <c r="L18" t="str">
        <f>((M18/1000)*(1000-((T18+S18)/2)))/(T18-S18)</f>
        <v>0.111377</v>
      </c>
      <c r="M18" t="str">
        <f>(AN18*(S18-R18))/(100*U18*(1000-S18))*1000</f>
        <v>0.849772</v>
      </c>
      <c r="N18" t="str">
        <v>2.493735</v>
      </c>
      <c r="O18" t="str">
        <v>2.447597</v>
      </c>
      <c r="P18" t="str">
        <f>0.61365*EXP((17.502*AL18)/(240.97+AL18))</f>
        <v>3.237389</v>
      </c>
      <c r="Q18" t="str">
        <f>P18-N18</f>
        <v>0.743654</v>
      </c>
      <c r="R18" t="str">
        <v>24.394489</v>
      </c>
      <c r="S18" t="str">
        <v>24.854332</v>
      </c>
      <c r="T18" t="str">
        <f>(P18/AM18)*1000</f>
        <v>32.266121</v>
      </c>
      <c r="U18" t="str">
        <f>V18*BG18</f>
        <v>0.441786</v>
      </c>
      <c r="V18" t="str">
        <v>7.500000</v>
      </c>
      <c r="W18" t="str">
        <v>PSF-01163_20250115083522_0ef</v>
      </c>
      <c r="X18" t="str">
        <v>0.000000</v>
      </c>
      <c r="Y18" t="str">
        <v>0.000000</v>
      </c>
      <c r="Z18" t="str">
        <v>0.000000</v>
      </c>
      <c r="AA18" t="str">
        <v>120.734810</v>
      </c>
      <c r="AB18" t="str">
        <v>570.435059</v>
      </c>
      <c r="AC18" t="str">
        <v>0.788346</v>
      </c>
      <c r="AD18" t="str">
        <v>0.5</v>
      </c>
      <c r="AE18" t="str">
        <v>0.80</v>
      </c>
      <c r="AF18" t="str">
        <f>AC18*AD18*AE18*AQ18</f>
        <v>16.293833</v>
      </c>
      <c r="AG18" t="str">
        <v>1.000000</v>
      </c>
      <c r="AH18" t="str">
        <v>71.97</v>
      </c>
      <c r="AI18" t="str">
        <v>70.64</v>
      </c>
      <c r="AJ18" t="str">
        <v>26.45</v>
      </c>
      <c r="AK18" t="str">
        <v>25.30</v>
      </c>
      <c r="AL18" t="str">
        <f>(AK18-AJ18)*(AJ18*0+0)+AK18</f>
        <v>25.30</v>
      </c>
      <c r="AM18" t="str">
        <v>100.33</v>
      </c>
      <c r="AN18" t="str">
        <v>79.6</v>
      </c>
      <c r="AO18" t="str">
        <v>79.3</v>
      </c>
      <c r="AP18" t="str">
        <v>0.4</v>
      </c>
      <c r="AQ18" t="str">
        <v>52</v>
      </c>
      <c r="AR18" t="str">
        <v>3.722</v>
      </c>
      <c r="AS18" t="str">
        <v>08:31:18</v>
      </c>
      <c r="AT18" t="str">
        <v>2025-01-15</v>
      </c>
      <c r="AU18" t="str">
        <v>-2.22</v>
      </c>
      <c r="AV18" t="str">
        <v>1</v>
      </c>
      <c r="AW18" t="str">
        <v>0.002</v>
      </c>
      <c r="AX18" t="str">
        <v>0.000</v>
      </c>
      <c r="AY18" t="str">
        <v>-0.001</v>
      </c>
      <c r="AZ18" t="str">
        <v>-0.020</v>
      </c>
      <c r="BA18" t="str">
        <v>0.213</v>
      </c>
      <c r="BB18" t="str">
        <v>1.426</v>
      </c>
      <c r="BC18" t="str">
        <v>1</v>
      </c>
      <c r="BD18" t="str">
        <v>75</v>
      </c>
      <c r="BE18" t="str">
        <v>0.001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rectangular</v>
      </c>
      <c r="BP18" t="str">
        <v>7000</v>
      </c>
      <c r="BQ18" t="str">
        <v>500</v>
      </c>
      <c r="BR18" t="str">
        <v>1.000000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2.469527</v>
      </c>
      <c r="CD18" t="str">
        <v>2.514357</v>
      </c>
      <c r="CE18" t="str">
        <v>1.072507</v>
      </c>
      <c r="CF18" t="str">
        <v>0.761501</v>
      </c>
      <c r="CG18" t="str">
        <v>0.257439</v>
      </c>
      <c r="CH18" t="str">
        <v>-0.011017</v>
      </c>
      <c r="CI18" t="str">
        <v>0.162358</v>
      </c>
      <c r="CJ18" t="str">
        <v>0.152293</v>
      </c>
      <c r="CK18" t="str">
        <v>120.734810</v>
      </c>
      <c r="CL18" t="str">
        <v>0.001169</v>
      </c>
      <c r="CM18" t="str">
        <v>2.363673</v>
      </c>
      <c r="CN18" t="str">
        <v>0.000005</v>
      </c>
      <c r="CO18" t="str">
        <v>1.000000</v>
      </c>
      <c r="CP18" t="str">
        <v>2.399535</v>
      </c>
      <c r="CQ18" t="str">
        <v>0.000012</v>
      </c>
      <c r="CR18" t="str">
        <v>1.000000</v>
      </c>
      <c r="CS18" t="str">
        <v>0.601056</v>
      </c>
      <c r="CT18" t="str">
        <v>0.600294</v>
      </c>
      <c r="CU18" t="str">
        <v>0.107352</v>
      </c>
      <c r="CV18" t="str">
        <v>0.000000</v>
      </c>
      <c r="CW18" t="str">
        <v>PSF-01163_20250115083522_0ef</v>
      </c>
      <c r="CX18" t="str">
        <v>PFA-00994</v>
      </c>
      <c r="CY18" t="str">
        <v>PSA-00994</v>
      </c>
      <c r="CZ18" t="str">
        <v>PSF-01163</v>
      </c>
      <c r="DA18" t="str">
        <v>RHS-01998</v>
      </c>
      <c r="DB18" t="str">
        <v>3.0.0</v>
      </c>
      <c r="DC18" t="str">
        <v>2025-01-13T08:33:48.201Z</v>
      </c>
    </row>
    <row r="19">
      <c r="A19" t="str">
        <v>16</v>
      </c>
      <c r="B19" t="str">
        <v>08:36:03</v>
      </c>
      <c r="C19" t="str">
        <v>2025-01-15</v>
      </c>
      <c r="D19" t="str">
        <v>K_lowfl_medbth</v>
      </c>
      <c r="E19" t="str">
        <v>Karina Guo</v>
      </c>
      <c r="F19" t="str">
        <v/>
      </c>
      <c r="G19" t="str">
        <v/>
      </c>
      <c r="H19" t="str">
        <v>292</v>
      </c>
      <c r="I19" t="str">
        <v>Mid</v>
      </c>
      <c r="J19" t="str">
        <f>1/((1/L19)-(1/K19))</f>
        <v>0.122029</v>
      </c>
      <c r="K19" t="str">
        <f>BH19+(BI19*AN19)+(BJ19*AN19*POWER(V19,2))+(BK19*AN19*V19)+(BL19*POWER(AN19,2))</f>
        <v>1.903451</v>
      </c>
      <c r="L19" t="str">
        <f>((M19/1000)*(1000-((T19+S19)/2)))/(T19-S19)</f>
        <v>0.114677</v>
      </c>
      <c r="M19" t="str">
        <f>(AN19*(S19-R19))/(100*U19*(1000-S19))*1000</f>
        <v>0.877736</v>
      </c>
      <c r="N19" t="str">
        <v>2.500037</v>
      </c>
      <c r="O19" t="str">
        <v>2.452529</v>
      </c>
      <c r="P19" t="str">
        <f>0.61365*EXP((17.502*AL19)/(240.97+AL19))</f>
        <v>3.246024</v>
      </c>
      <c r="Q19" t="str">
        <f>P19-N19</f>
        <v>0.745987</v>
      </c>
      <c r="R19" t="str">
        <v>24.442976</v>
      </c>
      <c r="S19" t="str">
        <v>24.916462</v>
      </c>
      <c r="T19" t="str">
        <f>(P19/AM19)*1000</f>
        <v>32.351299</v>
      </c>
      <c r="U19" t="str">
        <f>V19*BG19</f>
        <v>0.441786</v>
      </c>
      <c r="V19" t="str">
        <v>7.500000</v>
      </c>
      <c r="W19" t="str">
        <v>PSF-01163_20250115083603_e25</v>
      </c>
      <c r="X19" t="str">
        <v>0.000000</v>
      </c>
      <c r="Y19" t="str">
        <v>0.000000</v>
      </c>
      <c r="Z19" t="str">
        <v>0.000000</v>
      </c>
      <c r="AA19" t="str">
        <v>131.641388</v>
      </c>
      <c r="AB19" t="str">
        <v>585.409668</v>
      </c>
      <c r="AC19" t="str">
        <v>0.775129</v>
      </c>
      <c r="AD19" t="str">
        <v>0.5</v>
      </c>
      <c r="AE19" t="str">
        <v>0.80</v>
      </c>
      <c r="AF19" t="str">
        <f>AC19*AD19*AE19*AQ19</f>
        <v>16.999775</v>
      </c>
      <c r="AG19" t="str">
        <v>1.000000</v>
      </c>
      <c r="AH19" t="str">
        <v>71.56</v>
      </c>
      <c r="AI19" t="str">
        <v>70.20</v>
      </c>
      <c r="AJ19" t="str">
        <v>26.59</v>
      </c>
      <c r="AK19" t="str">
        <v>25.35</v>
      </c>
      <c r="AL19" t="str">
        <f>(AK19-AJ19)*(AJ19*0+0)+AK19</f>
        <v>25.35</v>
      </c>
      <c r="AM19" t="str">
        <v>100.34</v>
      </c>
      <c r="AN19" t="str">
        <v>79.9</v>
      </c>
      <c r="AO19" t="str">
        <v>79.5</v>
      </c>
      <c r="AP19" t="str">
        <v>0.5</v>
      </c>
      <c r="AQ19" t="str">
        <v>55</v>
      </c>
      <c r="AR19" t="str">
        <v>3.722</v>
      </c>
      <c r="AS19" t="str">
        <v>08:31:18</v>
      </c>
      <c r="AT19" t="str">
        <v>2025-01-15</v>
      </c>
      <c r="AU19" t="str">
        <v>-2.22</v>
      </c>
      <c r="AV19" t="str">
        <v>1</v>
      </c>
      <c r="AW19" t="str">
        <v>0.000</v>
      </c>
      <c r="AX19" t="str">
        <v>0.000</v>
      </c>
      <c r="AY19" t="str">
        <v>-0.003</v>
      </c>
      <c r="AZ19" t="str">
        <v>-0.177</v>
      </c>
      <c r="BA19" t="str">
        <v>-0.442</v>
      </c>
      <c r="BB19" t="str">
        <v>-0.812</v>
      </c>
      <c r="BC19" t="str">
        <v>1</v>
      </c>
      <c r="BD19" t="str">
        <v>75</v>
      </c>
      <c r="BE19" t="str">
        <v>0.001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rectangular</v>
      </c>
      <c r="BP19" t="str">
        <v>7000</v>
      </c>
      <c r="BQ19" t="str">
        <v>500</v>
      </c>
      <c r="BR19" t="str">
        <v>1.000000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2.468918</v>
      </c>
      <c r="CD19" t="str">
        <v>2.513769</v>
      </c>
      <c r="CE19" t="str">
        <v>1.074187</v>
      </c>
      <c r="CF19" t="str">
        <v>0.761807</v>
      </c>
      <c r="CG19" t="str">
        <v>0.255997</v>
      </c>
      <c r="CH19" t="str">
        <v>-0.012112</v>
      </c>
      <c r="CI19" t="str">
        <v>0.166726</v>
      </c>
      <c r="CJ19" t="str">
        <v>0.155040</v>
      </c>
      <c r="CK19" t="str">
        <v>131.641388</v>
      </c>
      <c r="CL19" t="str">
        <v>0.001164</v>
      </c>
      <c r="CM19" t="str">
        <v>2.363673</v>
      </c>
      <c r="CN19" t="str">
        <v>0.000005</v>
      </c>
      <c r="CO19" t="str">
        <v>1.000000</v>
      </c>
      <c r="CP19" t="str">
        <v>2.399535</v>
      </c>
      <c r="CQ19" t="str">
        <v>0.000012</v>
      </c>
      <c r="CR19" t="str">
        <v>1.000000</v>
      </c>
      <c r="CS19" t="str">
        <v>0.601056</v>
      </c>
      <c r="CT19" t="str">
        <v>0.600294</v>
      </c>
      <c r="CU19" t="str">
        <v>0.107352</v>
      </c>
      <c r="CV19" t="str">
        <v>0.000000</v>
      </c>
      <c r="CW19" t="str">
        <v>PSF-01163_20250115083603_e25</v>
      </c>
      <c r="CX19" t="str">
        <v>PFA-00994</v>
      </c>
      <c r="CY19" t="str">
        <v>PSA-00994</v>
      </c>
      <c r="CZ19" t="str">
        <v>PSF-01163</v>
      </c>
      <c r="DA19" t="str">
        <v>RHS-01998</v>
      </c>
      <c r="DB19" t="str">
        <v>3.0.0</v>
      </c>
      <c r="DC19" t="str">
        <v>2025-01-13T08:33:48.201Z</v>
      </c>
    </row>
  </sheetData>
  <ignoredErrors>
    <ignoredError numberStoredAsText="1" sqref="A1:D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K_lowfl_medbth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