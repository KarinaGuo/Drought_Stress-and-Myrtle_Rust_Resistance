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rl\OneDrive\Documents\Uni\Doctorate\Ch2 Stressor\Scoring\"/>
    </mc:Choice>
  </mc:AlternateContent>
  <xr:revisionPtr revIDLastSave="0" documentId="13_ncr:1_{09AF37F6-2D14-49BA-AB85-98E99011210D}" xr6:coauthVersionLast="47" xr6:coauthVersionMax="47" xr10:uidLastSave="{00000000-0000-0000-0000-000000000000}"/>
  <bookViews>
    <workbookView xWindow="-110" yWindow="-110" windowWidth="22620" windowHeight="13500" xr2:uid="{1E4CD220-032C-40CF-B3AA-BEC181FE186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3" i="1" l="1"/>
  <c r="I353" i="1"/>
  <c r="H353" i="1"/>
  <c r="J350" i="1"/>
  <c r="I350" i="1"/>
  <c r="J349" i="1"/>
  <c r="I349" i="1"/>
  <c r="J348" i="1"/>
  <c r="I348" i="1"/>
  <c r="J347" i="1"/>
  <c r="I347" i="1"/>
  <c r="J346" i="1"/>
  <c r="I346" i="1"/>
  <c r="J345" i="1"/>
  <c r="I345" i="1"/>
  <c r="J344" i="1"/>
  <c r="I344" i="1"/>
  <c r="J343" i="1"/>
  <c r="I343" i="1"/>
  <c r="J342" i="1"/>
  <c r="I342" i="1"/>
  <c r="J341" i="1"/>
  <c r="I341" i="1"/>
  <c r="J340" i="1"/>
  <c r="I340" i="1"/>
  <c r="J339" i="1"/>
  <c r="I339" i="1"/>
  <c r="J338" i="1"/>
  <c r="I338" i="1"/>
  <c r="J337" i="1"/>
  <c r="I337" i="1"/>
  <c r="J336" i="1"/>
  <c r="I336" i="1"/>
  <c r="J335" i="1"/>
  <c r="I335" i="1"/>
  <c r="J334" i="1"/>
  <c r="I334" i="1"/>
  <c r="J333" i="1"/>
  <c r="I333" i="1"/>
  <c r="J332" i="1"/>
  <c r="I332" i="1"/>
  <c r="J247" i="1"/>
  <c r="I247" i="1"/>
  <c r="J246" i="1"/>
  <c r="I246" i="1"/>
  <c r="J331" i="1"/>
  <c r="I331" i="1"/>
  <c r="J330" i="1"/>
  <c r="I330" i="1"/>
  <c r="J329" i="1"/>
  <c r="I329" i="1"/>
  <c r="J245" i="1"/>
  <c r="I245" i="1"/>
  <c r="J328" i="1"/>
  <c r="I328" i="1"/>
  <c r="J327" i="1"/>
  <c r="I327" i="1"/>
  <c r="J326" i="1"/>
  <c r="I326" i="1"/>
  <c r="J325" i="1"/>
  <c r="I325" i="1"/>
  <c r="J324" i="1"/>
  <c r="I324" i="1"/>
  <c r="J244" i="1"/>
  <c r="I244" i="1"/>
  <c r="J323" i="1"/>
  <c r="I323" i="1"/>
  <c r="J322" i="1"/>
  <c r="I322" i="1"/>
  <c r="J321" i="1"/>
  <c r="I321" i="1"/>
  <c r="J320" i="1"/>
  <c r="I320" i="1"/>
  <c r="J243" i="1"/>
  <c r="I243" i="1"/>
  <c r="J319" i="1"/>
  <c r="I319" i="1"/>
  <c r="J318" i="1"/>
  <c r="I318" i="1"/>
  <c r="J317" i="1"/>
  <c r="I317" i="1"/>
  <c r="J316" i="1"/>
  <c r="I316" i="1"/>
  <c r="J242" i="1"/>
  <c r="I242" i="1"/>
  <c r="J241" i="1"/>
  <c r="I241" i="1"/>
  <c r="J240" i="1"/>
  <c r="I240" i="1"/>
  <c r="J239" i="1"/>
  <c r="I239" i="1"/>
  <c r="J238" i="1"/>
  <c r="I238" i="1"/>
  <c r="J237" i="1"/>
  <c r="I237" i="1"/>
  <c r="J236" i="1"/>
  <c r="I236" i="1"/>
  <c r="J235" i="1"/>
  <c r="I235" i="1"/>
  <c r="J234" i="1"/>
  <c r="I234" i="1"/>
  <c r="J233" i="1"/>
  <c r="I233" i="1"/>
  <c r="J232" i="1"/>
  <c r="I232" i="1"/>
  <c r="J231" i="1"/>
  <c r="I231" i="1"/>
  <c r="J230" i="1"/>
  <c r="I230" i="1"/>
  <c r="J229" i="1"/>
  <c r="I229" i="1"/>
  <c r="J228" i="1"/>
  <c r="I228" i="1"/>
  <c r="J227" i="1"/>
  <c r="I227" i="1"/>
  <c r="J226" i="1"/>
  <c r="I226" i="1"/>
  <c r="J225" i="1"/>
  <c r="I225" i="1"/>
  <c r="J224" i="1"/>
  <c r="I224" i="1"/>
  <c r="J223" i="1"/>
  <c r="I223" i="1"/>
  <c r="J222" i="1"/>
  <c r="I222" i="1"/>
  <c r="J221" i="1"/>
  <c r="I221" i="1"/>
  <c r="J220" i="1"/>
  <c r="I220" i="1"/>
  <c r="J219" i="1"/>
  <c r="I219" i="1"/>
  <c r="J218" i="1"/>
  <c r="I218" i="1"/>
  <c r="J217" i="1"/>
  <c r="I217" i="1"/>
  <c r="J216" i="1"/>
  <c r="I216" i="1"/>
  <c r="J215" i="1"/>
  <c r="I215" i="1"/>
  <c r="J214" i="1"/>
  <c r="I214" i="1"/>
  <c r="J213" i="1"/>
  <c r="I213" i="1"/>
  <c r="J212" i="1"/>
  <c r="I212" i="1"/>
  <c r="J211" i="1"/>
  <c r="I211" i="1"/>
  <c r="J210" i="1"/>
  <c r="I210" i="1"/>
  <c r="J209" i="1"/>
  <c r="I209" i="1"/>
  <c r="J208" i="1"/>
  <c r="I208" i="1"/>
  <c r="J207" i="1"/>
  <c r="I207" i="1"/>
  <c r="J206" i="1"/>
  <c r="I206" i="1"/>
  <c r="J205" i="1"/>
  <c r="I205" i="1"/>
  <c r="J204" i="1"/>
  <c r="I204" i="1"/>
  <c r="J203" i="1"/>
  <c r="I203" i="1"/>
  <c r="J202" i="1"/>
  <c r="I202" i="1"/>
  <c r="J201" i="1"/>
  <c r="I201" i="1"/>
  <c r="J200" i="1"/>
  <c r="I200" i="1"/>
  <c r="J199" i="1"/>
  <c r="I199" i="1"/>
  <c r="J198" i="1"/>
  <c r="I198" i="1"/>
  <c r="J197" i="1"/>
  <c r="I197" i="1"/>
  <c r="J196" i="1"/>
  <c r="I196" i="1"/>
  <c r="J195" i="1"/>
  <c r="I195" i="1"/>
  <c r="J194" i="1"/>
  <c r="I194" i="1"/>
  <c r="J193" i="1"/>
  <c r="I193" i="1"/>
  <c r="J192" i="1"/>
  <c r="I192" i="1"/>
  <c r="J191" i="1"/>
  <c r="I191" i="1"/>
  <c r="J190" i="1"/>
  <c r="I190" i="1"/>
  <c r="J189" i="1"/>
  <c r="I189" i="1"/>
  <c r="J188" i="1"/>
  <c r="I188" i="1"/>
  <c r="J187" i="1"/>
  <c r="I187" i="1"/>
  <c r="J186" i="1"/>
  <c r="I186" i="1"/>
  <c r="J185" i="1"/>
  <c r="I185" i="1"/>
  <c r="J184" i="1"/>
  <c r="I184" i="1"/>
  <c r="J183" i="1"/>
  <c r="I183" i="1"/>
  <c r="J182" i="1"/>
  <c r="I182" i="1"/>
  <c r="J181" i="1"/>
  <c r="I181" i="1"/>
  <c r="J180" i="1"/>
  <c r="I180" i="1"/>
  <c r="J179" i="1"/>
  <c r="I179" i="1"/>
  <c r="J178" i="1"/>
  <c r="I178" i="1"/>
  <c r="J177" i="1"/>
  <c r="I177" i="1"/>
  <c r="J176" i="1"/>
  <c r="I176" i="1"/>
  <c r="J175" i="1"/>
  <c r="I175" i="1"/>
  <c r="J315" i="1"/>
  <c r="I315" i="1"/>
  <c r="J174" i="1"/>
  <c r="I174" i="1"/>
  <c r="J314" i="1"/>
  <c r="I314" i="1"/>
  <c r="J173" i="1"/>
  <c r="I173" i="1"/>
  <c r="J313" i="1"/>
  <c r="I313" i="1"/>
  <c r="J312" i="1"/>
  <c r="I312" i="1"/>
  <c r="J311" i="1"/>
  <c r="I311" i="1"/>
  <c r="J310" i="1"/>
  <c r="I310" i="1"/>
  <c r="J172" i="1"/>
  <c r="I172" i="1"/>
  <c r="J309" i="1"/>
  <c r="I309" i="1"/>
  <c r="J308" i="1"/>
  <c r="I308" i="1"/>
  <c r="J307" i="1"/>
  <c r="I307" i="1"/>
  <c r="J306" i="1"/>
  <c r="I306" i="1"/>
  <c r="J171" i="1"/>
  <c r="I171" i="1"/>
  <c r="J305" i="1"/>
  <c r="I305" i="1"/>
  <c r="J304" i="1"/>
  <c r="I304" i="1"/>
  <c r="J170" i="1"/>
  <c r="I170" i="1"/>
  <c r="J303" i="1"/>
  <c r="I303" i="1"/>
  <c r="J302" i="1"/>
  <c r="I302" i="1"/>
  <c r="J301" i="1"/>
  <c r="I301" i="1"/>
  <c r="J300" i="1"/>
  <c r="I300" i="1"/>
  <c r="J169" i="1"/>
  <c r="I169" i="1"/>
  <c r="J168" i="1"/>
  <c r="I168" i="1"/>
  <c r="J299" i="1"/>
  <c r="I299" i="1"/>
  <c r="J167" i="1"/>
  <c r="I167" i="1"/>
  <c r="J166" i="1"/>
  <c r="I166" i="1"/>
  <c r="J298" i="1"/>
  <c r="I298" i="1"/>
  <c r="J297" i="1"/>
  <c r="I297" i="1"/>
  <c r="J296" i="1"/>
  <c r="I296" i="1"/>
  <c r="J295" i="1"/>
  <c r="I295" i="1"/>
  <c r="J165" i="1"/>
  <c r="I165" i="1"/>
  <c r="J164" i="1"/>
  <c r="I164" i="1"/>
  <c r="J294" i="1"/>
  <c r="I294" i="1"/>
  <c r="J293" i="1"/>
  <c r="I293" i="1"/>
  <c r="J292" i="1"/>
  <c r="I292" i="1"/>
  <c r="J291" i="1"/>
  <c r="I291" i="1"/>
  <c r="J290" i="1"/>
  <c r="I290" i="1"/>
  <c r="J289" i="1"/>
  <c r="I289" i="1"/>
  <c r="J163" i="1"/>
  <c r="I163" i="1"/>
  <c r="J288" i="1"/>
  <c r="I288" i="1"/>
  <c r="J162" i="1"/>
  <c r="I162" i="1"/>
  <c r="J161" i="1"/>
  <c r="I161" i="1"/>
  <c r="J160" i="1"/>
  <c r="I160" i="1"/>
  <c r="J159" i="1"/>
  <c r="I159" i="1"/>
  <c r="J158" i="1"/>
  <c r="I158" i="1"/>
  <c r="J157" i="1"/>
  <c r="I157" i="1"/>
  <c r="J156" i="1"/>
  <c r="I156" i="1"/>
  <c r="J155" i="1"/>
  <c r="I155" i="1"/>
  <c r="J287" i="1"/>
  <c r="I287" i="1"/>
  <c r="J286" i="1"/>
  <c r="I286" i="1"/>
  <c r="J154" i="1"/>
  <c r="I154" i="1"/>
  <c r="J153" i="1"/>
  <c r="I153" i="1"/>
  <c r="J152" i="1"/>
  <c r="I152" i="1"/>
  <c r="J151" i="1"/>
  <c r="I151" i="1"/>
  <c r="J150" i="1"/>
  <c r="I150" i="1"/>
  <c r="J149" i="1"/>
  <c r="I149" i="1"/>
  <c r="J148" i="1"/>
  <c r="I148" i="1"/>
  <c r="J147" i="1"/>
  <c r="I147" i="1"/>
  <c r="J146" i="1"/>
  <c r="I146" i="1"/>
  <c r="J145" i="1"/>
  <c r="I145" i="1"/>
  <c r="J144" i="1"/>
  <c r="I144" i="1"/>
  <c r="J143" i="1"/>
  <c r="I143" i="1"/>
  <c r="J142" i="1"/>
  <c r="I142" i="1"/>
  <c r="J141" i="1"/>
  <c r="I141" i="1"/>
  <c r="J285" i="1"/>
  <c r="I285" i="1"/>
  <c r="J140" i="1"/>
  <c r="I140" i="1"/>
  <c r="J139" i="1"/>
  <c r="I139" i="1"/>
  <c r="J138" i="1"/>
  <c r="I138" i="1"/>
  <c r="J137" i="1"/>
  <c r="I137" i="1"/>
  <c r="J136" i="1"/>
  <c r="I136" i="1"/>
  <c r="J135" i="1"/>
  <c r="I135" i="1"/>
  <c r="J284" i="1"/>
  <c r="I284" i="1"/>
  <c r="J134" i="1"/>
  <c r="I134" i="1"/>
  <c r="J133" i="1"/>
  <c r="I133" i="1"/>
  <c r="J283" i="1"/>
  <c r="I283" i="1"/>
  <c r="J132" i="1"/>
  <c r="I132" i="1"/>
  <c r="J131" i="1"/>
  <c r="I131" i="1"/>
  <c r="J130" i="1"/>
  <c r="I130" i="1"/>
  <c r="J129" i="1"/>
  <c r="I129" i="1"/>
  <c r="J128" i="1"/>
  <c r="I128" i="1"/>
  <c r="J127" i="1"/>
  <c r="I127" i="1"/>
  <c r="J126" i="1"/>
  <c r="I126" i="1"/>
  <c r="J125" i="1"/>
  <c r="I125" i="1"/>
  <c r="J282" i="1"/>
  <c r="I282" i="1"/>
  <c r="J124" i="1"/>
  <c r="I124" i="1"/>
  <c r="J123" i="1"/>
  <c r="I123" i="1"/>
  <c r="J122" i="1"/>
  <c r="I122" i="1"/>
  <c r="J281" i="1"/>
  <c r="I281" i="1"/>
  <c r="J121" i="1"/>
  <c r="I121" i="1"/>
  <c r="J120" i="1"/>
  <c r="I120" i="1"/>
  <c r="J280" i="1"/>
  <c r="I280" i="1"/>
  <c r="J279" i="1"/>
  <c r="I279" i="1"/>
  <c r="J278" i="1"/>
  <c r="I278" i="1"/>
  <c r="J119" i="1"/>
  <c r="I119" i="1"/>
  <c r="J118" i="1"/>
  <c r="I118" i="1"/>
  <c r="J117" i="1"/>
  <c r="I117" i="1"/>
  <c r="J116" i="1"/>
  <c r="I116" i="1"/>
  <c r="J115" i="1"/>
  <c r="I115" i="1"/>
  <c r="J114" i="1"/>
  <c r="I114" i="1"/>
  <c r="J113" i="1"/>
  <c r="I113" i="1"/>
  <c r="J112" i="1"/>
  <c r="I112" i="1"/>
  <c r="J111" i="1"/>
  <c r="I111" i="1"/>
  <c r="J110" i="1"/>
  <c r="I110" i="1"/>
  <c r="J277" i="1"/>
  <c r="I277" i="1"/>
  <c r="J276" i="1"/>
  <c r="I276" i="1"/>
  <c r="J275" i="1"/>
  <c r="I275" i="1"/>
  <c r="J274" i="1"/>
  <c r="I274" i="1"/>
  <c r="J273" i="1"/>
  <c r="I273" i="1"/>
  <c r="J272" i="1"/>
  <c r="I272" i="1"/>
  <c r="J109" i="1"/>
  <c r="I109" i="1"/>
  <c r="J271" i="1"/>
  <c r="I271" i="1"/>
  <c r="J270" i="1"/>
  <c r="I270" i="1"/>
  <c r="J269" i="1"/>
  <c r="I269" i="1"/>
  <c r="J268" i="1"/>
  <c r="I268" i="1"/>
  <c r="J108" i="1"/>
  <c r="I108" i="1"/>
  <c r="J267" i="1"/>
  <c r="I267" i="1"/>
  <c r="J266" i="1"/>
  <c r="I266" i="1"/>
  <c r="J265" i="1"/>
  <c r="I265" i="1"/>
  <c r="J264" i="1"/>
  <c r="I264" i="1"/>
  <c r="J263" i="1"/>
  <c r="I263" i="1"/>
  <c r="J107" i="1"/>
  <c r="I107" i="1"/>
  <c r="J106" i="1"/>
  <c r="I106" i="1"/>
  <c r="J262" i="1"/>
  <c r="I262" i="1"/>
  <c r="J105" i="1"/>
  <c r="I105" i="1"/>
  <c r="J261" i="1"/>
  <c r="I261" i="1"/>
  <c r="J260" i="1"/>
  <c r="I260" i="1"/>
  <c r="J259" i="1"/>
  <c r="I259" i="1"/>
  <c r="J258" i="1"/>
  <c r="I258" i="1"/>
  <c r="J257" i="1"/>
  <c r="I257" i="1"/>
  <c r="J256" i="1"/>
  <c r="I256" i="1"/>
  <c r="J255" i="1"/>
  <c r="I255" i="1"/>
  <c r="J254" i="1"/>
  <c r="I254" i="1"/>
  <c r="J253" i="1"/>
  <c r="I253" i="1"/>
  <c r="J252" i="1"/>
  <c r="I252" i="1"/>
  <c r="J251" i="1"/>
  <c r="I251" i="1"/>
  <c r="J250" i="1"/>
  <c r="I250" i="1"/>
  <c r="J249" i="1"/>
  <c r="I249" i="1"/>
  <c r="J104" i="1"/>
  <c r="I104" i="1"/>
  <c r="J248" i="1"/>
  <c r="I248" i="1"/>
  <c r="J103" i="1"/>
  <c r="I10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J94" i="1"/>
  <c r="I94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248" i="1"/>
  <c r="H104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105" i="1"/>
  <c r="H262" i="1"/>
  <c r="H106" i="1"/>
  <c r="H107" i="1"/>
  <c r="H263" i="1"/>
  <c r="H264" i="1"/>
  <c r="H265" i="1"/>
  <c r="H266" i="1"/>
  <c r="H267" i="1"/>
  <c r="H108" i="1"/>
  <c r="H268" i="1"/>
  <c r="H269" i="1"/>
  <c r="H270" i="1"/>
  <c r="H271" i="1"/>
  <c r="H109" i="1"/>
  <c r="H272" i="1"/>
  <c r="H273" i="1"/>
  <c r="H274" i="1"/>
  <c r="H275" i="1"/>
  <c r="H276" i="1"/>
  <c r="H277" i="1"/>
  <c r="H110" i="1"/>
  <c r="H111" i="1"/>
  <c r="H112" i="1"/>
  <c r="H113" i="1"/>
  <c r="H114" i="1"/>
  <c r="H115" i="1"/>
  <c r="H116" i="1"/>
  <c r="H117" i="1"/>
  <c r="H118" i="1"/>
  <c r="H119" i="1"/>
  <c r="H278" i="1"/>
  <c r="H279" i="1"/>
  <c r="H280" i="1"/>
  <c r="H120" i="1"/>
  <c r="H121" i="1"/>
  <c r="H281" i="1"/>
  <c r="H122" i="1"/>
  <c r="H123" i="1"/>
  <c r="H124" i="1"/>
  <c r="H282" i="1"/>
  <c r="H125" i="1"/>
  <c r="H126" i="1"/>
  <c r="H127" i="1"/>
  <c r="H128" i="1"/>
  <c r="H129" i="1"/>
  <c r="H130" i="1"/>
  <c r="H131" i="1"/>
  <c r="H132" i="1"/>
  <c r="H283" i="1"/>
  <c r="H133" i="1"/>
  <c r="H134" i="1"/>
  <c r="H284" i="1"/>
  <c r="H135" i="1"/>
  <c r="H136" i="1"/>
  <c r="H137" i="1"/>
  <c r="H138" i="1"/>
  <c r="H139" i="1"/>
  <c r="H140" i="1"/>
  <c r="H285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286" i="1"/>
  <c r="H287" i="1"/>
  <c r="H155" i="1"/>
  <c r="H156" i="1"/>
  <c r="H157" i="1"/>
  <c r="H158" i="1"/>
  <c r="H159" i="1"/>
  <c r="H160" i="1"/>
  <c r="H161" i="1"/>
  <c r="H162" i="1"/>
  <c r="H288" i="1"/>
  <c r="H163" i="1"/>
  <c r="H289" i="1"/>
  <c r="H290" i="1"/>
  <c r="H291" i="1"/>
  <c r="H292" i="1"/>
  <c r="H293" i="1"/>
  <c r="H294" i="1"/>
  <c r="H164" i="1"/>
  <c r="H165" i="1"/>
  <c r="H295" i="1"/>
  <c r="H296" i="1"/>
  <c r="H297" i="1"/>
  <c r="H298" i="1"/>
  <c r="H166" i="1"/>
  <c r="H167" i="1"/>
  <c r="H299" i="1"/>
  <c r="H168" i="1"/>
  <c r="H169" i="1"/>
  <c r="H300" i="1"/>
  <c r="H301" i="1"/>
  <c r="H302" i="1"/>
  <c r="H303" i="1"/>
  <c r="H170" i="1"/>
  <c r="H304" i="1"/>
  <c r="H305" i="1"/>
  <c r="H171" i="1"/>
  <c r="H306" i="1"/>
  <c r="H307" i="1"/>
  <c r="H308" i="1"/>
  <c r="H309" i="1"/>
  <c r="H172" i="1"/>
  <c r="H310" i="1"/>
  <c r="H311" i="1"/>
  <c r="H312" i="1"/>
  <c r="H313" i="1"/>
  <c r="H173" i="1"/>
  <c r="H314" i="1"/>
  <c r="H174" i="1"/>
  <c r="H315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3" i="1"/>
  <c r="X7" i="1"/>
  <c r="H327" i="1" s="1"/>
  <c r="H337" i="1" l="1"/>
  <c r="H336" i="1"/>
  <c r="H338" i="1"/>
  <c r="H326" i="1"/>
  <c r="H325" i="1"/>
  <c r="H324" i="1"/>
  <c r="H244" i="1"/>
  <c r="H339" i="1"/>
  <c r="H320" i="1"/>
  <c r="H247" i="1"/>
  <c r="H243" i="1"/>
  <c r="H350" i="1"/>
  <c r="H349" i="1"/>
  <c r="H332" i="1"/>
  <c r="H347" i="1"/>
  <c r="H346" i="1"/>
  <c r="H246" i="1"/>
  <c r="H319" i="1"/>
  <c r="H321" i="1"/>
  <c r="H345" i="1"/>
  <c r="H331" i="1"/>
  <c r="H318" i="1"/>
  <c r="H333" i="1"/>
  <c r="H330" i="1"/>
  <c r="H317" i="1"/>
  <c r="H343" i="1"/>
  <c r="H316" i="1"/>
  <c r="A1" i="2" s="1" a="1"/>
  <c r="A1" i="2" s="1"/>
  <c r="H335" i="1"/>
  <c r="H348" i="1"/>
  <c r="H245" i="1"/>
  <c r="H334" i="1"/>
  <c r="H341" i="1"/>
  <c r="H323" i="1"/>
  <c r="H322" i="1"/>
  <c r="H344" i="1"/>
  <c r="H329" i="1"/>
  <c r="H342" i="1"/>
  <c r="H328" i="1"/>
  <c r="H3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Karina Guo</author>
  </authors>
  <commentList>
    <comment ref="G2" authorId="0" shapeId="0" xr:uid="{8F07A58E-2BDB-4FD3-9F2E-0C0AB9801530}">
      <text>
        <r>
          <rPr>
            <b/>
            <sz val="9"/>
            <color indexed="81"/>
            <rFont val="Tahoma"/>
            <family val="2"/>
          </rPr>
          <t>Karina Guo:</t>
        </r>
        <r>
          <rPr>
            <sz val="9"/>
            <color indexed="81"/>
            <rFont val="Tahoma"/>
            <family val="2"/>
          </rPr>
          <t xml:space="preserve">
(S,MS,MRMS,MR,R)</t>
        </r>
      </text>
    </comment>
    <comment ref="I2" authorId="0" shapeId="0" xr:uid="{6111D80E-F364-4096-A01D-BBA7CE56FC3D}">
      <text>
        <r>
          <rPr>
            <b/>
            <sz val="9"/>
            <color indexed="81"/>
            <rFont val="Tahoma"/>
            <family val="2"/>
          </rPr>
          <t>Karina Guo:</t>
        </r>
        <r>
          <rPr>
            <sz val="9"/>
            <color indexed="81"/>
            <rFont val="Tahoma"/>
            <family val="2"/>
          </rPr>
          <t xml:space="preserve">
converted at MRMS&gt; = 1, MRMS= &lt; = 0</t>
        </r>
      </text>
    </comment>
    <comment ref="J2" authorId="0" shapeId="0" xr:uid="{84FC7B2E-2814-4C98-9D77-51E93AC09D5F}">
      <text>
        <r>
          <rPr>
            <b/>
            <sz val="9"/>
            <color indexed="81"/>
            <rFont val="Tahoma"/>
            <family val="2"/>
          </rPr>
          <t>Karina Guo:</t>
        </r>
        <r>
          <rPr>
            <sz val="9"/>
            <color indexed="81"/>
            <rFont val="Tahoma"/>
            <family val="2"/>
          </rPr>
          <t xml:space="preserve">
converted at MRMS=&gt; = 1, MRMS&lt; = 0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<sst xmlns="http://schemas.openxmlformats.org/spreadsheetml/2006/main" count="2243" uniqueCount="115">
  <si>
    <t>Karans</t>
  </si>
  <si>
    <t>IID</t>
  </si>
  <si>
    <t>Flecking (white)</t>
  </si>
  <si>
    <t>Chlorosis (red)</t>
  </si>
  <si>
    <t>Necrosis</t>
  </si>
  <si>
    <t>Active sporulation (restr./not restr.)</t>
  </si>
  <si>
    <t>Coverage</t>
  </si>
  <si>
    <t>Imm. resp.</t>
  </si>
  <si>
    <t>COI scores</t>
  </si>
  <si>
    <t>Binary_MS</t>
  </si>
  <si>
    <t>Binary_MRMS</t>
  </si>
  <si>
    <t>Notes</t>
  </si>
  <si>
    <t>Orig Scoring scheme</t>
  </si>
  <si>
    <t>Imm resp</t>
  </si>
  <si>
    <t>COI - if no coverage score was given, use personal</t>
  </si>
  <si>
    <t>Difference in COI (Mine-Karans)</t>
  </si>
  <si>
    <t>Difference in coverage score</t>
  </si>
  <si>
    <t>N</t>
  </si>
  <si>
    <t>HR</t>
  </si>
  <si>
    <t>Reinoculation?</t>
  </si>
  <si>
    <t>y</t>
  </si>
  <si>
    <t>Y</t>
  </si>
  <si>
    <t>n</t>
  </si>
  <si>
    <t>MS</t>
  </si>
  <si>
    <t>S</t>
  </si>
  <si>
    <t>On branch</t>
  </si>
  <si>
    <t>MRMS</t>
  </si>
  <si>
    <t>R</t>
  </si>
  <si>
    <t>High high mealy bug load, covered in mildew may block spores. Cleaned.</t>
  </si>
  <si>
    <t>Single spore colony on leaf underside</t>
  </si>
  <si>
    <t>multiple small restricted spore colonies some with limited IR but flecking.</t>
  </si>
  <si>
    <t>Only flecking on more mature leaves, discounted.</t>
  </si>
  <si>
    <t>on branch</t>
  </si>
  <si>
    <t>Colonies with no IR</t>
  </si>
  <si>
    <t>Few unrestricted colonies</t>
  </si>
  <si>
    <t>HS</t>
  </si>
  <si>
    <t>Colonies on leaves with no IR only flecking on background</t>
  </si>
  <si>
    <t>Chlorotic immune response but unrestricted on leaf</t>
  </si>
  <si>
    <t>One colony with no IR</t>
  </si>
  <si>
    <t>Limited IR on unrestricted colonies</t>
  </si>
  <si>
    <t>Mealy bug coverage</t>
  </si>
  <si>
    <t>Multiple limited colonies with limited IR</t>
  </si>
  <si>
    <t>Mealy bug presence</t>
  </si>
  <si>
    <t>Single one spore colony</t>
  </si>
  <si>
    <t>Some colonies no IR</t>
  </si>
  <si>
    <t>Colonies with no IR. Warped leaf shape</t>
  </si>
  <si>
    <t>A couple of single spore colonies</t>
  </si>
  <si>
    <t>On branch but with IR</t>
  </si>
  <si>
    <t>warped leaf</t>
  </si>
  <si>
    <t>Minimal spore colonies</t>
  </si>
  <si>
    <t>Mealy bug presence on MR susceptible leaves</t>
  </si>
  <si>
    <t>Two colonies with single spore. Mealy bug presence on susceptible leaves</t>
  </si>
  <si>
    <t>Limited IR</t>
  </si>
  <si>
    <t>Warped leaf</t>
  </si>
  <si>
    <t>Warped elaf</t>
  </si>
  <si>
    <t>One colony has limited immune response; one has some</t>
  </si>
  <si>
    <t>Multiple restricted pustules</t>
  </si>
  <si>
    <t>Flecking on bottom leaves</t>
  </si>
  <si>
    <t>large chlorotic cover but minimal sporulation</t>
  </si>
  <si>
    <t>warped leaves</t>
  </si>
  <si>
    <t>Missing tip</t>
  </si>
  <si>
    <t>NA</t>
  </si>
  <si>
    <t>Collony with no IR</t>
  </si>
  <si>
    <t>Mix</t>
  </si>
  <si>
    <t>Snapped but still alive tip</t>
  </si>
  <si>
    <t>Chlorosis on bottom leaves</t>
  </si>
  <si>
    <t>Single pustule spore colony</t>
  </si>
  <si>
    <t>Single unrestricted pustule</t>
  </si>
  <si>
    <t>One 2 spore colony</t>
  </si>
  <si>
    <t>Multiple colonies no IR</t>
  </si>
  <si>
    <t>Single 1 spore colony</t>
  </si>
  <si>
    <t>Chlorosis on older leaves</t>
  </si>
  <si>
    <t>Restricted</t>
  </si>
  <si>
    <t>4 single spore colony</t>
  </si>
  <si>
    <t>single spore colony on branch</t>
  </si>
  <si>
    <t>Limited new growth</t>
  </si>
  <si>
    <t>CHECK ALL HR ISNT HS</t>
  </si>
  <si>
    <t>Leaf with no IR</t>
  </si>
  <si>
    <t>Mealy bug on bottom heavy load</t>
  </si>
  <si>
    <t>Two single spore colony</t>
  </si>
  <si>
    <t>Unrestricted</t>
  </si>
  <si>
    <t>Three 1 spore colony</t>
  </si>
  <si>
    <t>Unhealthy, heavy mealy bug presence</t>
  </si>
  <si>
    <t>high chlorotic cover</t>
  </si>
  <si>
    <t>Leaf with no IR. Chlorosis on more mature leaves discounted</t>
  </si>
  <si>
    <t>Potentially dotted with teliospores?</t>
  </si>
  <si>
    <t>Single 2 spore colony underside leaf otherwise clean</t>
  </si>
  <si>
    <t>Top leaf consumed by mealies. Reinoculate</t>
  </si>
  <si>
    <t>Single one spore colony. Large chlorotic cover</t>
  </si>
  <si>
    <t>Little IR</t>
  </si>
  <si>
    <t>Small spore coverage but large chlorotic lesions</t>
  </si>
  <si>
    <t>Large chlorotic lesions but single spores maybe 30 on a leaf</t>
  </si>
  <si>
    <t xml:space="preserve">single spore colony </t>
  </si>
  <si>
    <t>Large chlorosis few spores</t>
  </si>
  <si>
    <t>Limited immune response on some colonies. On branch</t>
  </si>
  <si>
    <t>Too unhealthy to be inoculated</t>
  </si>
  <si>
    <t>3 one spore colony; large chlorotic cover</t>
  </si>
  <si>
    <t>Missing tip eaten</t>
  </si>
  <si>
    <t>3 single spore coloniwa</t>
  </si>
  <si>
    <t>Two single spore colonies</t>
  </si>
  <si>
    <t>High mealy bug load</t>
  </si>
  <si>
    <t>10 single spore colony on one leaf, but one unrestricted 5+ spores pustule</t>
  </si>
  <si>
    <t>Limited IR on colonies of new leaf</t>
  </si>
  <si>
    <t>Top leaves no IR</t>
  </si>
  <si>
    <t>Top leaves no IR. On branch</t>
  </si>
  <si>
    <t>No</t>
  </si>
  <si>
    <t>Yes</t>
  </si>
  <si>
    <t>Scored on 17/3/25. Inoculated on 3/3/25</t>
  </si>
  <si>
    <t>Personal COI</t>
  </si>
  <si>
    <t>Karans COI</t>
  </si>
  <si>
    <t>Imm. resp. (S,MS,MRMS,MR,R)</t>
  </si>
  <si>
    <t>Multiplicative factor</t>
  </si>
  <si>
    <t>HRR</t>
  </si>
  <si>
    <t>MR</t>
  </si>
  <si>
    <t>MSS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</si>
</sst>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5F9FD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rgb="FFFCE7DC"/>
        <bgColor indexed="64"/>
      </patternFill>
    </fill>
    <fill>
      <patternFill patternType="solid">
        <fgColor rgb="FFFFFFE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5" xfId="0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/>
    <xf numFmtId="0" fontId="0" fillId="0" borderId="11" xfId="0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25" xfId="0" applyBorder="1"/>
    <xf numFmtId="0" fontId="0" fillId="0" borderId="27" xfId="0" applyBorder="1"/>
    <xf numFmtId="0" fontId="0" fillId="0" borderId="19" xfId="0" applyBorder="1" applyAlignment="1">
      <alignment horizontal="center" vertical="center" wrapText="1"/>
    </xf>
    <xf numFmtId="0" fontId="0" fillId="0" borderId="20" xfId="0" applyBorder="1"/>
    <xf numFmtId="0" fontId="0" fillId="0" borderId="13" xfId="0" applyBorder="1" applyAlignment="1">
      <alignment horizontal="center" vertical="center" wrapText="1"/>
    </xf>
    <xf numFmtId="0" fontId="0" fillId="0" borderId="21" xfId="0" applyBorder="1"/>
    <xf numFmtId="0" fontId="0" fillId="0" borderId="14" xfId="0" applyBorder="1" applyAlignment="1">
      <alignment horizontal="center" vertical="center" wrapText="1"/>
    </xf>
    <xf numFmtId="0" fontId="0" fillId="0" borderId="22" xfId="0" applyBorder="1"/>
    <xf numFmtId="0" fontId="0" fillId="0" borderId="15" xfId="0" applyBorder="1" applyAlignment="1">
      <alignment horizontal="center" vertical="center" wrapText="1"/>
    </xf>
    <xf numFmtId="0" fontId="0" fillId="0" borderId="23" xfId="0" applyBorder="1"/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24" xfId="0" applyBorder="1"/>
    <xf numFmtId="0" fontId="0" fillId="0" borderId="12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6" xfId="0" applyBorder="1"/>
    <xf numFmtId="0" fontId="0" fillId="0" borderId="18" xfId="0" applyBorder="1" applyAlignment="1">
      <alignment horizontal="center" vertical="center" wrapText="1"/>
    </xf>
    <xf numFmtId="0" fontId="0" fillId="0" borderId="28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15">
    <dxf>
      <font>
        <color rgb="FF9C5700"/>
      </font>
      <fill>
        <patternFill>
          <bgColor rgb="FFFFEB9C"/>
        </patternFill>
      </fill>
    </dxf>
    <dxf>
      <font>
        <color theme="8" tint="-0.24994659260841701"/>
      </font>
      <fill>
        <patternFill>
          <bgColor theme="8" tint="0.79998168889431442"/>
        </patternFill>
      </fill>
    </dxf>
    <dxf>
      <font>
        <color theme="3" tint="0.2499465926084170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01"/>
      </font>
      <fill>
        <patternFill>
          <bgColor theme="8" tint="0.79998168889431442"/>
        </patternFill>
      </fill>
    </dxf>
    <dxf>
      <font>
        <color theme="3" tint="0.2499465926084170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AC6ED-44EF-4636-A2A9-746CB8885DD9}">
  <dimension ref="A1:AB353"/>
  <sheetViews>
    <sheetView tabSelected="1" topLeftCell="A318" zoomScale="85" zoomScaleNormal="85" workbookViewId="0">
      <selection activeCell="L325" sqref="L325"/>
    </sheetView>
  </sheetViews>
  <sheetFormatPr defaultRowHeight="14.5" x14ac:dyDescent="0.35"/>
  <cols>
    <col min="5" max="5" width="11" bestFit="1" customWidth="1"/>
    <col min="9" max="11" width="8.7265625" customWidth="1"/>
  </cols>
  <sheetData>
    <row r="1" spans="1:28" ht="15" thickBot="1" x14ac:dyDescent="0.4">
      <c r="A1" s="41" t="s">
        <v>107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2" t="s">
        <v>0</v>
      </c>
      <c r="N1" s="43"/>
      <c r="O1" s="43"/>
      <c r="P1" s="43"/>
      <c r="Q1" s="43"/>
      <c r="R1" s="43"/>
      <c r="S1" s="44"/>
      <c r="W1" s="45" t="s">
        <v>108</v>
      </c>
      <c r="X1" s="45"/>
      <c r="Y1" s="46" t="s">
        <v>109</v>
      </c>
      <c r="Z1" s="46"/>
    </row>
    <row r="2" spans="1:28" ht="101.5" x14ac:dyDescent="0.35">
      <c r="A2" s="1" t="s">
        <v>1</v>
      </c>
      <c r="B2" s="2" t="s">
        <v>2</v>
      </c>
      <c r="C2" s="3" t="s">
        <v>3</v>
      </c>
      <c r="D2" s="4" t="s">
        <v>4</v>
      </c>
      <c r="E2" s="5" t="s">
        <v>5</v>
      </c>
      <c r="F2" s="6" t="s">
        <v>6</v>
      </c>
      <c r="G2" s="7" t="s">
        <v>7</v>
      </c>
      <c r="H2" s="8" t="s">
        <v>8</v>
      </c>
      <c r="I2" s="8" t="s">
        <v>9</v>
      </c>
      <c r="J2" s="8" t="s">
        <v>10</v>
      </c>
      <c r="K2" s="9" t="s">
        <v>11</v>
      </c>
      <c r="L2" s="8" t="s">
        <v>19</v>
      </c>
      <c r="M2" s="1" t="s">
        <v>12</v>
      </c>
      <c r="N2" s="10" t="s">
        <v>6</v>
      </c>
      <c r="O2" s="11" t="s">
        <v>13</v>
      </c>
      <c r="P2" s="10" t="s">
        <v>14</v>
      </c>
      <c r="Q2" s="7" t="s">
        <v>15</v>
      </c>
      <c r="R2" s="7" t="s">
        <v>16</v>
      </c>
      <c r="S2" s="12" t="s">
        <v>11</v>
      </c>
      <c r="U2" s="21" t="s">
        <v>76</v>
      </c>
      <c r="W2" s="37" t="s">
        <v>110</v>
      </c>
      <c r="X2" s="18" t="s">
        <v>111</v>
      </c>
    </row>
    <row r="3" spans="1:28" x14ac:dyDescent="0.35">
      <c r="A3" s="47">
        <v>33</v>
      </c>
      <c r="B3" t="s">
        <v>105</v>
      </c>
      <c r="C3" t="s">
        <v>105</v>
      </c>
      <c r="D3" t="s">
        <v>105</v>
      </c>
      <c r="E3" t="s">
        <v>105</v>
      </c>
      <c r="F3" s="26">
        <v>0</v>
      </c>
      <c r="G3" s="15" t="s">
        <v>18</v>
      </c>
      <c r="H3" s="16">
        <f>INDEX(X:X, MATCH(G3, W:W, 0))*F3</f>
        <v>0</v>
      </c>
      <c r="I3" s="16">
        <f>IF(COUNTIF($W$3:$W$6, G3) &gt; 0, 0, 1)</f>
        <v>0</v>
      </c>
      <c r="J3" s="16">
        <f>IF(COUNTIF(W$3:W$5, G3) &gt; 0, 0, 1)</f>
        <v>0</v>
      </c>
      <c r="K3" s="32"/>
      <c r="L3" s="30" t="s">
        <v>20</v>
      </c>
      <c r="M3" s="35"/>
      <c r="N3" s="23"/>
      <c r="O3" s="23"/>
      <c r="P3" s="23"/>
      <c r="Q3" s="28"/>
      <c r="R3" s="28"/>
      <c r="S3" s="38"/>
      <c r="W3" s="18" t="s">
        <v>18</v>
      </c>
      <c r="X3" s="18">
        <v>0</v>
      </c>
      <c r="Y3" s="18" t="s">
        <v>18</v>
      </c>
      <c r="Z3" s="18">
        <v>0</v>
      </c>
      <c r="AB3" s="15"/>
    </row>
    <row r="4" spans="1:28" x14ac:dyDescent="0.35">
      <c r="A4" s="47">
        <v>35</v>
      </c>
      <c r="B4" t="s">
        <v>105</v>
      </c>
      <c r="C4" t="s">
        <v>105</v>
      </c>
      <c r="D4" t="s">
        <v>105</v>
      </c>
      <c r="E4" t="s">
        <v>105</v>
      </c>
      <c r="F4" s="26">
        <v>0</v>
      </c>
      <c r="G4" s="15" t="s">
        <v>18</v>
      </c>
      <c r="H4" s="16">
        <f>INDEX(X:X, MATCH(G4, W:W, 0))*F4</f>
        <v>0</v>
      </c>
      <c r="I4" s="16">
        <f>IF(COUNTIF($W$3:$W$6, G4) &gt; 0, 0, 1)</f>
        <v>0</v>
      </c>
      <c r="J4" s="16">
        <f>IF(COUNTIF(W$3:W$5, G4) &gt; 0, 0, 1)</f>
        <v>0</v>
      </c>
      <c r="K4" s="32"/>
      <c r="L4" s="30" t="s">
        <v>20</v>
      </c>
      <c r="M4" s="35"/>
      <c r="N4" s="23"/>
      <c r="O4" s="23"/>
      <c r="P4" s="23"/>
      <c r="Q4" s="28"/>
      <c r="R4" s="28"/>
      <c r="S4" s="38"/>
      <c r="W4" s="18" t="s">
        <v>27</v>
      </c>
      <c r="X4" s="18">
        <v>0.25</v>
      </c>
      <c r="Y4" s="18" t="s">
        <v>112</v>
      </c>
      <c r="Z4" s="18">
        <v>0</v>
      </c>
      <c r="AB4" s="15"/>
    </row>
    <row r="5" spans="1:28" x14ac:dyDescent="0.35">
      <c r="A5" s="20">
        <v>60</v>
      </c>
      <c r="B5" t="s">
        <v>105</v>
      </c>
      <c r="C5" t="s">
        <v>105</v>
      </c>
      <c r="D5" t="s">
        <v>105</v>
      </c>
      <c r="E5" t="s">
        <v>105</v>
      </c>
      <c r="F5" s="14">
        <v>0</v>
      </c>
      <c r="G5" s="15" t="s">
        <v>18</v>
      </c>
      <c r="H5" s="16">
        <f>INDEX(X:X, MATCH(G5, W:W, 0))*F5</f>
        <v>0</v>
      </c>
      <c r="I5" s="16">
        <f>IF(COUNTIF($W$3:$W$6, G5) &gt; 0, 0, 1)</f>
        <v>0</v>
      </c>
      <c r="J5" s="16">
        <f>IF(COUNTIF(W$3:W$5, G5) &gt; 0, 0, 1)</f>
        <v>0</v>
      </c>
      <c r="K5" s="17"/>
      <c r="L5" s="16" t="s">
        <v>20</v>
      </c>
      <c r="M5" s="13"/>
      <c r="N5" s="18"/>
      <c r="O5" s="18"/>
      <c r="P5" s="18"/>
      <c r="Q5" s="15"/>
      <c r="R5" s="15"/>
      <c r="S5" s="19"/>
      <c r="W5" s="18" t="s">
        <v>26</v>
      </c>
      <c r="X5" s="18">
        <v>0.5</v>
      </c>
      <c r="Y5" s="18" t="s">
        <v>27</v>
      </c>
      <c r="Z5" s="18">
        <v>0.15</v>
      </c>
      <c r="AB5" s="15"/>
    </row>
    <row r="6" spans="1:28" x14ac:dyDescent="0.35">
      <c r="A6" s="20">
        <v>94</v>
      </c>
      <c r="B6" t="s">
        <v>105</v>
      </c>
      <c r="C6" t="s">
        <v>105</v>
      </c>
      <c r="D6" t="s">
        <v>105</v>
      </c>
      <c r="E6" t="s">
        <v>105</v>
      </c>
      <c r="F6" s="14">
        <v>0</v>
      </c>
      <c r="G6" s="15" t="s">
        <v>18</v>
      </c>
      <c r="H6" s="16">
        <f>INDEX(X:X, MATCH(G6, W:W, 0))*F6</f>
        <v>0</v>
      </c>
      <c r="I6" s="16">
        <f>IF(COUNTIF($W$3:$W$6, G6) &gt; 0, 0, 1)</f>
        <v>0</v>
      </c>
      <c r="J6" s="16">
        <f>IF(COUNTIF(W$3:W$5, G6) &gt; 0, 0, 1)</f>
        <v>0</v>
      </c>
      <c r="K6" s="17"/>
      <c r="L6" s="16" t="s">
        <v>21</v>
      </c>
      <c r="M6" s="13"/>
      <c r="N6" s="18"/>
      <c r="O6" s="18"/>
      <c r="P6" s="18"/>
      <c r="Q6" s="15"/>
      <c r="R6" s="15"/>
      <c r="S6" s="19"/>
      <c r="W6" s="18" t="s">
        <v>23</v>
      </c>
      <c r="X6" s="18">
        <v>0.75</v>
      </c>
      <c r="Y6" s="18" t="s">
        <v>113</v>
      </c>
      <c r="Z6" s="18">
        <v>0.3</v>
      </c>
      <c r="AB6" s="15"/>
    </row>
    <row r="7" spans="1:28" x14ac:dyDescent="0.35">
      <c r="A7" s="20">
        <v>109</v>
      </c>
      <c r="B7" t="s">
        <v>105</v>
      </c>
      <c r="C7" t="s">
        <v>105</v>
      </c>
      <c r="D7" t="s">
        <v>105</v>
      </c>
      <c r="E7" t="s">
        <v>105</v>
      </c>
      <c r="F7" s="14">
        <v>0</v>
      </c>
      <c r="G7" s="15" t="s">
        <v>18</v>
      </c>
      <c r="H7" s="16">
        <f>INDEX(X:X, MATCH(G7, W:W, 0))*F7</f>
        <v>0</v>
      </c>
      <c r="I7" s="16">
        <f>IF(COUNTIF($W$3:$W$6, G7) &gt; 0, 0, 1)</f>
        <v>0</v>
      </c>
      <c r="J7" s="16">
        <f>IF(COUNTIF(W$3:W$5, G7) &gt; 0, 0, 1)</f>
        <v>0</v>
      </c>
      <c r="K7" s="17"/>
      <c r="L7" s="16" t="s">
        <v>20</v>
      </c>
      <c r="M7" s="13"/>
      <c r="N7" s="18"/>
      <c r="O7" s="18"/>
      <c r="P7" s="18"/>
      <c r="Q7" s="15"/>
      <c r="R7" s="15"/>
      <c r="S7" s="19"/>
      <c r="W7" s="18" t="s">
        <v>24</v>
      </c>
      <c r="X7" s="18">
        <f>0.75+0.125</f>
        <v>0.875</v>
      </c>
      <c r="Y7" s="18" t="s">
        <v>26</v>
      </c>
      <c r="Z7" s="18">
        <v>0.45</v>
      </c>
      <c r="AB7" s="15"/>
    </row>
    <row r="8" spans="1:28" x14ac:dyDescent="0.35">
      <c r="A8" s="20">
        <v>110</v>
      </c>
      <c r="B8" t="s">
        <v>105</v>
      </c>
      <c r="C8" t="s">
        <v>105</v>
      </c>
      <c r="D8" t="s">
        <v>105</v>
      </c>
      <c r="E8" t="s">
        <v>105</v>
      </c>
      <c r="F8" s="14">
        <v>0</v>
      </c>
      <c r="G8" s="15" t="s">
        <v>18</v>
      </c>
      <c r="H8" s="16">
        <f>INDEX(X:X, MATCH(G8, W:W, 0))*F8</f>
        <v>0</v>
      </c>
      <c r="I8" s="16">
        <f>IF(COUNTIF($W$3:$W$6, G8) &gt; 0, 0, 1)</f>
        <v>0</v>
      </c>
      <c r="J8" s="16">
        <f>IF(COUNTIF(W$3:W$5, G8) &gt; 0, 0, 1)</f>
        <v>0</v>
      </c>
      <c r="K8" s="17"/>
      <c r="L8" s="16" t="s">
        <v>21</v>
      </c>
      <c r="M8" s="13"/>
      <c r="N8" s="18"/>
      <c r="O8" s="18"/>
      <c r="P8" s="18"/>
      <c r="Q8" s="15"/>
      <c r="R8" s="15"/>
      <c r="S8" s="19"/>
      <c r="W8" s="18" t="s">
        <v>35</v>
      </c>
      <c r="X8" s="18">
        <v>1</v>
      </c>
      <c r="Y8" s="18" t="s">
        <v>23</v>
      </c>
      <c r="Z8" s="18">
        <v>0.6</v>
      </c>
      <c r="AB8" s="15"/>
    </row>
    <row r="9" spans="1:28" x14ac:dyDescent="0.35">
      <c r="A9" s="20">
        <v>113</v>
      </c>
      <c r="B9" t="s">
        <v>105</v>
      </c>
      <c r="C9" t="s">
        <v>105</v>
      </c>
      <c r="D9" t="s">
        <v>105</v>
      </c>
      <c r="E9" t="s">
        <v>105</v>
      </c>
      <c r="F9" s="14">
        <v>0</v>
      </c>
      <c r="G9" s="15" t="s">
        <v>18</v>
      </c>
      <c r="H9" s="16">
        <f>INDEX(X:X, MATCH(G9, W:W, 0))*F9</f>
        <v>0</v>
      </c>
      <c r="I9" s="16">
        <f>IF(COUNTIF($W$3:$W$6, G9) &gt; 0, 0, 1)</f>
        <v>0</v>
      </c>
      <c r="J9" s="16">
        <f>IF(COUNTIF(W$3:W$5, G9) &gt; 0, 0, 1)</f>
        <v>0</v>
      </c>
      <c r="K9" s="17"/>
      <c r="L9" s="16" t="s">
        <v>21</v>
      </c>
      <c r="M9" s="13"/>
      <c r="N9" s="18"/>
      <c r="O9" s="18"/>
      <c r="P9" s="18"/>
      <c r="Q9" s="15"/>
      <c r="R9" s="15"/>
      <c r="S9" s="19"/>
      <c r="W9" s="18"/>
      <c r="X9" s="18"/>
      <c r="Y9" s="18" t="s">
        <v>114</v>
      </c>
      <c r="Z9" s="18">
        <v>0.75</v>
      </c>
      <c r="AB9" s="15"/>
    </row>
    <row r="10" spans="1:28" x14ac:dyDescent="0.35">
      <c r="A10" s="20">
        <v>115</v>
      </c>
      <c r="B10" t="s">
        <v>105</v>
      </c>
      <c r="C10" t="s">
        <v>105</v>
      </c>
      <c r="D10" t="s">
        <v>105</v>
      </c>
      <c r="E10" t="s">
        <v>105</v>
      </c>
      <c r="F10" s="14">
        <v>0</v>
      </c>
      <c r="G10" s="15" t="s">
        <v>18</v>
      </c>
      <c r="H10" s="16">
        <f>INDEX(X:X, MATCH(G10, W:W, 0))*F10</f>
        <v>0</v>
      </c>
      <c r="I10" s="16">
        <f>IF(COUNTIF($W$3:$W$6, G10) &gt; 0, 0, 1)</f>
        <v>0</v>
      </c>
      <c r="J10" s="16">
        <f>IF(COUNTIF(W$3:W$5, G10) &gt; 0, 0, 1)</f>
        <v>0</v>
      </c>
      <c r="K10" s="17" t="s">
        <v>31</v>
      </c>
      <c r="L10" s="16" t="s">
        <v>21</v>
      </c>
      <c r="M10" s="13"/>
      <c r="N10" s="18"/>
      <c r="O10" s="18"/>
      <c r="P10" s="18"/>
      <c r="Q10" s="15"/>
      <c r="R10" s="15"/>
      <c r="S10" s="19"/>
      <c r="W10" s="18"/>
      <c r="X10" s="18"/>
      <c r="Y10" s="18" t="s">
        <v>24</v>
      </c>
      <c r="Z10" s="18">
        <v>1</v>
      </c>
    </row>
    <row r="11" spans="1:28" x14ac:dyDescent="0.35">
      <c r="A11" s="20">
        <v>148</v>
      </c>
      <c r="B11" t="s">
        <v>105</v>
      </c>
      <c r="C11" t="s">
        <v>105</v>
      </c>
      <c r="D11" t="s">
        <v>105</v>
      </c>
      <c r="E11" t="s">
        <v>105</v>
      </c>
      <c r="F11" s="14">
        <v>0</v>
      </c>
      <c r="G11" s="15" t="s">
        <v>18</v>
      </c>
      <c r="H11" s="16">
        <f>INDEX(X:X, MATCH(G11, W:W, 0))*F11</f>
        <v>0</v>
      </c>
      <c r="I11" s="16">
        <f>IF(COUNTIF($W$3:$W$6, G11) &gt; 0, 0, 1)</f>
        <v>0</v>
      </c>
      <c r="J11" s="16">
        <f>IF(COUNTIF(W$3:W$5, G11) &gt; 0, 0, 1)</f>
        <v>0</v>
      </c>
      <c r="K11" s="17"/>
      <c r="L11" s="16" t="s">
        <v>20</v>
      </c>
      <c r="M11" s="13"/>
      <c r="N11" s="18"/>
      <c r="O11" s="18"/>
      <c r="P11" s="18"/>
      <c r="Q11" s="15"/>
      <c r="R11" s="15"/>
      <c r="S11" s="19"/>
      <c r="Y11" s="40" t="s">
        <v>35</v>
      </c>
      <c r="Z11" s="40">
        <v>1</v>
      </c>
    </row>
    <row r="12" spans="1:28" x14ac:dyDescent="0.35">
      <c r="A12" s="20">
        <v>168</v>
      </c>
      <c r="B12" t="s">
        <v>105</v>
      </c>
      <c r="C12" t="s">
        <v>105</v>
      </c>
      <c r="D12" t="s">
        <v>105</v>
      </c>
      <c r="E12" t="s">
        <v>105</v>
      </c>
      <c r="F12" s="14">
        <v>0</v>
      </c>
      <c r="G12" s="15" t="s">
        <v>18</v>
      </c>
      <c r="H12" s="16">
        <f>INDEX(X:X, MATCH(G12, W:W, 0))*F12</f>
        <v>0</v>
      </c>
      <c r="I12" s="16">
        <f>IF(COUNTIF($W$3:$W$6, G12) &gt; 0, 0, 1)</f>
        <v>0</v>
      </c>
      <c r="J12" s="16">
        <f>IF(COUNTIF(W$3:W$5, G12) &gt; 0, 0, 1)</f>
        <v>0</v>
      </c>
      <c r="K12" s="17"/>
      <c r="L12" s="16" t="s">
        <v>21</v>
      </c>
      <c r="M12" s="13"/>
      <c r="N12" s="18"/>
      <c r="O12" s="18"/>
      <c r="P12" s="18"/>
      <c r="Q12" s="15"/>
      <c r="R12" s="15"/>
      <c r="S12" s="19"/>
    </row>
    <row r="13" spans="1:28" x14ac:dyDescent="0.35">
      <c r="A13" s="20">
        <v>183</v>
      </c>
      <c r="B13" t="s">
        <v>105</v>
      </c>
      <c r="C13" t="s">
        <v>105</v>
      </c>
      <c r="D13" t="s">
        <v>105</v>
      </c>
      <c r="E13" t="s">
        <v>105</v>
      </c>
      <c r="F13" s="14">
        <v>0</v>
      </c>
      <c r="G13" s="15" t="s">
        <v>18</v>
      </c>
      <c r="H13" s="16">
        <f>INDEX(X:X, MATCH(G13, W:W, 0))*F13</f>
        <v>0</v>
      </c>
      <c r="I13" s="16">
        <f>IF(COUNTIF($W$3:$W$6, G13) &gt; 0, 0, 1)</f>
        <v>0</v>
      </c>
      <c r="J13" s="16">
        <f>IF(COUNTIF(W$3:W$5, G13) &gt; 0, 0, 1)</f>
        <v>0</v>
      </c>
      <c r="K13" s="17"/>
      <c r="L13" s="16" t="s">
        <v>21</v>
      </c>
      <c r="M13" s="13"/>
      <c r="N13" s="18"/>
      <c r="O13" s="18"/>
      <c r="P13" s="18"/>
      <c r="Q13" s="15"/>
      <c r="R13" s="15"/>
      <c r="S13" s="19"/>
    </row>
    <row r="14" spans="1:28" x14ac:dyDescent="0.35">
      <c r="A14" s="20">
        <v>184</v>
      </c>
      <c r="B14" t="s">
        <v>105</v>
      </c>
      <c r="C14" t="s">
        <v>105</v>
      </c>
      <c r="D14" t="s">
        <v>105</v>
      </c>
      <c r="E14" t="s">
        <v>105</v>
      </c>
      <c r="F14" s="14">
        <v>0</v>
      </c>
      <c r="G14" s="15" t="s">
        <v>18</v>
      </c>
      <c r="H14" s="16">
        <f>INDEX(X:X, MATCH(G14, W:W, 0))*F14</f>
        <v>0</v>
      </c>
      <c r="I14" s="16">
        <f>IF(COUNTIF($W$3:$W$6, G14) &gt; 0, 0, 1)</f>
        <v>0</v>
      </c>
      <c r="J14" s="16">
        <f>IF(COUNTIF(W$3:W$5, G14) &gt; 0, 0, 1)</f>
        <v>0</v>
      </c>
      <c r="K14" s="17"/>
      <c r="L14" s="16" t="s">
        <v>21</v>
      </c>
      <c r="M14" s="13"/>
      <c r="N14" s="18"/>
      <c r="O14" s="18"/>
      <c r="P14" s="18"/>
      <c r="Q14" s="15"/>
      <c r="R14" s="15"/>
      <c r="S14" s="19"/>
    </row>
    <row r="15" spans="1:28" x14ac:dyDescent="0.35">
      <c r="A15" s="20">
        <v>202</v>
      </c>
      <c r="B15" t="s">
        <v>105</v>
      </c>
      <c r="C15" t="s">
        <v>105</v>
      </c>
      <c r="D15" t="s">
        <v>105</v>
      </c>
      <c r="E15" t="s">
        <v>105</v>
      </c>
      <c r="F15" s="14">
        <v>0</v>
      </c>
      <c r="G15" s="15" t="s">
        <v>18</v>
      </c>
      <c r="H15" s="16">
        <f>INDEX(X:X, MATCH(G15, W:W, 0))*F15</f>
        <v>0</v>
      </c>
      <c r="I15" s="16">
        <f>IF(COUNTIF($W$3:$W$6, G15) &gt; 0, 0, 1)</f>
        <v>0</v>
      </c>
      <c r="J15" s="16">
        <f>IF(COUNTIF(W$3:W$5, G15) &gt; 0, 0, 1)</f>
        <v>0</v>
      </c>
      <c r="K15" s="17"/>
      <c r="L15" s="16" t="s">
        <v>21</v>
      </c>
      <c r="M15" s="13"/>
      <c r="N15" s="18"/>
      <c r="O15" s="18"/>
      <c r="P15" s="18"/>
      <c r="Q15" s="15"/>
      <c r="R15" s="15"/>
      <c r="S15" s="19"/>
    </row>
    <row r="16" spans="1:28" x14ac:dyDescent="0.35">
      <c r="A16" s="20">
        <v>219</v>
      </c>
      <c r="B16" t="s">
        <v>105</v>
      </c>
      <c r="C16" t="s">
        <v>105</v>
      </c>
      <c r="D16" t="s">
        <v>105</v>
      </c>
      <c r="E16" t="s">
        <v>105</v>
      </c>
      <c r="F16" s="14">
        <v>0</v>
      </c>
      <c r="G16" s="15" t="s">
        <v>18</v>
      </c>
      <c r="H16" s="16">
        <f>INDEX(X:X, MATCH(G16, W:W, 0))*F16</f>
        <v>0</v>
      </c>
      <c r="I16" s="16">
        <f>IF(COUNTIF($W$3:$W$6, G16) &gt; 0, 0, 1)</f>
        <v>0</v>
      </c>
      <c r="J16" s="16">
        <f>IF(COUNTIF(W$3:W$5, G16) &gt; 0, 0, 1)</f>
        <v>0</v>
      </c>
      <c r="K16" s="17"/>
      <c r="L16" s="16" t="s">
        <v>20</v>
      </c>
      <c r="M16" s="13"/>
      <c r="N16" s="18"/>
      <c r="O16" s="18"/>
      <c r="P16" s="18"/>
      <c r="Q16" s="15"/>
      <c r="R16" s="15"/>
      <c r="S16" s="19"/>
    </row>
    <row r="17" spans="1:19" x14ac:dyDescent="0.35">
      <c r="A17" s="20">
        <v>242</v>
      </c>
      <c r="B17" t="s">
        <v>105</v>
      </c>
      <c r="C17" t="s">
        <v>105</v>
      </c>
      <c r="D17" t="s">
        <v>105</v>
      </c>
      <c r="E17" t="s">
        <v>105</v>
      </c>
      <c r="F17" s="14">
        <v>0</v>
      </c>
      <c r="G17" s="15" t="s">
        <v>18</v>
      </c>
      <c r="H17" s="16">
        <f>INDEX(X:X, MATCH(G17, W:W, 0))*F17</f>
        <v>0</v>
      </c>
      <c r="I17" s="16">
        <f>IF(COUNTIF($W$3:$W$6, G17) &gt; 0, 0, 1)</f>
        <v>0</v>
      </c>
      <c r="J17" s="16">
        <f>IF(COUNTIF(W$3:W$5, G17) &gt; 0, 0, 1)</f>
        <v>0</v>
      </c>
      <c r="K17" s="17"/>
      <c r="L17" s="16" t="s">
        <v>21</v>
      </c>
      <c r="M17" s="13"/>
      <c r="N17" s="18"/>
      <c r="O17" s="18"/>
      <c r="P17" s="18"/>
      <c r="Q17" s="15"/>
      <c r="R17" s="15"/>
      <c r="S17" s="19"/>
    </row>
    <row r="18" spans="1:19" x14ac:dyDescent="0.35">
      <c r="A18" s="20">
        <v>244</v>
      </c>
      <c r="B18" t="s">
        <v>105</v>
      </c>
      <c r="C18" t="s">
        <v>105</v>
      </c>
      <c r="D18" t="s">
        <v>105</v>
      </c>
      <c r="E18" t="s">
        <v>105</v>
      </c>
      <c r="F18" s="14">
        <v>0</v>
      </c>
      <c r="G18" s="15" t="s">
        <v>18</v>
      </c>
      <c r="H18" s="16">
        <f>INDEX(X:X, MATCH(G18, W:W, 0))*F18</f>
        <v>0</v>
      </c>
      <c r="I18" s="16">
        <f>IF(COUNTIF($W$3:$W$6, G18) &gt; 0, 0, 1)</f>
        <v>0</v>
      </c>
      <c r="J18" s="16">
        <f>IF(COUNTIF(W$3:W$5, G18) &gt; 0, 0, 1)</f>
        <v>0</v>
      </c>
      <c r="K18" s="17"/>
      <c r="L18" s="16" t="s">
        <v>21</v>
      </c>
      <c r="M18" s="13"/>
      <c r="N18" s="18"/>
      <c r="O18" s="18"/>
      <c r="P18" s="18"/>
      <c r="Q18" s="15"/>
      <c r="R18" s="15"/>
      <c r="S18" s="19"/>
    </row>
    <row r="19" spans="1:19" x14ac:dyDescent="0.35">
      <c r="A19" s="20">
        <v>294</v>
      </c>
      <c r="B19" t="s">
        <v>105</v>
      </c>
      <c r="C19" t="s">
        <v>105</v>
      </c>
      <c r="D19" t="s">
        <v>105</v>
      </c>
      <c r="E19" t="s">
        <v>105</v>
      </c>
      <c r="F19" s="14">
        <v>0</v>
      </c>
      <c r="G19" s="15" t="s">
        <v>18</v>
      </c>
      <c r="H19" s="16">
        <f>INDEX(X:X, MATCH(G19, W:W, 0))*F19</f>
        <v>0</v>
      </c>
      <c r="I19" s="16">
        <f>IF(COUNTIF($W$3:$W$6, G19) &gt; 0, 0, 1)</f>
        <v>0</v>
      </c>
      <c r="J19" s="16">
        <f>IF(COUNTIF(W$3:W$5, G19) &gt; 0, 0, 1)</f>
        <v>0</v>
      </c>
      <c r="K19" s="17"/>
      <c r="L19" s="16" t="s">
        <v>20</v>
      </c>
      <c r="M19" s="13"/>
      <c r="N19" s="18"/>
      <c r="O19" s="18"/>
      <c r="P19" s="18"/>
      <c r="Q19" s="15"/>
      <c r="R19" s="15"/>
      <c r="S19" s="19"/>
    </row>
    <row r="20" spans="1:19" x14ac:dyDescent="0.35">
      <c r="A20" s="20">
        <v>295</v>
      </c>
      <c r="B20" t="s">
        <v>105</v>
      </c>
      <c r="C20" t="s">
        <v>105</v>
      </c>
      <c r="D20" t="s">
        <v>105</v>
      </c>
      <c r="E20" t="s">
        <v>105</v>
      </c>
      <c r="F20" s="14">
        <v>0</v>
      </c>
      <c r="G20" s="15" t="s">
        <v>18</v>
      </c>
      <c r="H20" s="16">
        <f>INDEX(X:X, MATCH(G20, W:W, 0))*F20</f>
        <v>0</v>
      </c>
      <c r="I20" s="16">
        <f>IF(COUNTIF($W$3:$W$6, G20) &gt; 0, 0, 1)</f>
        <v>0</v>
      </c>
      <c r="J20" s="16">
        <f>IF(COUNTIF(W$3:W$5, G20) &gt; 0, 0, 1)</f>
        <v>0</v>
      </c>
      <c r="K20" s="17" t="s">
        <v>75</v>
      </c>
      <c r="L20" s="16" t="s">
        <v>20</v>
      </c>
      <c r="M20" s="13"/>
      <c r="N20" s="18"/>
      <c r="O20" s="18"/>
      <c r="P20" s="18"/>
      <c r="Q20" s="15"/>
      <c r="R20" s="15"/>
      <c r="S20" s="19"/>
    </row>
    <row r="21" spans="1:19" x14ac:dyDescent="0.35">
      <c r="A21" s="20">
        <v>297</v>
      </c>
      <c r="B21" t="s">
        <v>105</v>
      </c>
      <c r="C21" t="s">
        <v>105</v>
      </c>
      <c r="D21" t="s">
        <v>105</v>
      </c>
      <c r="E21" t="s">
        <v>105</v>
      </c>
      <c r="F21" s="14">
        <v>0</v>
      </c>
      <c r="G21" s="15" t="s">
        <v>18</v>
      </c>
      <c r="H21" s="16">
        <f>INDEX(X:X, MATCH(G21, W:W, 0))*F21</f>
        <v>0</v>
      </c>
      <c r="I21" s="16">
        <f>IF(COUNTIF($W$3:$W$6, G21) &gt; 0, 0, 1)</f>
        <v>0</v>
      </c>
      <c r="J21" s="16">
        <f>IF(COUNTIF(W$3:W$5, G21) &gt; 0, 0, 1)</f>
        <v>0</v>
      </c>
      <c r="K21" s="17" t="s">
        <v>75</v>
      </c>
      <c r="L21" s="16" t="s">
        <v>20</v>
      </c>
      <c r="M21" s="13"/>
      <c r="N21" s="18"/>
      <c r="O21" s="18"/>
      <c r="P21" s="18"/>
      <c r="Q21" s="15"/>
      <c r="R21" s="15"/>
      <c r="S21" s="19"/>
    </row>
    <row r="22" spans="1:19" x14ac:dyDescent="0.35">
      <c r="A22" s="20">
        <v>311</v>
      </c>
      <c r="B22" t="s">
        <v>105</v>
      </c>
      <c r="C22" t="s">
        <v>105</v>
      </c>
      <c r="D22" t="s">
        <v>105</v>
      </c>
      <c r="E22" t="s">
        <v>105</v>
      </c>
      <c r="F22" s="14">
        <v>0</v>
      </c>
      <c r="G22" s="15" t="s">
        <v>18</v>
      </c>
      <c r="H22" s="16">
        <f>INDEX(X:X, MATCH(G22, W:W, 0))*F22</f>
        <v>0</v>
      </c>
      <c r="I22" s="16">
        <f>IF(COUNTIF($W$3:$W$6, G22) &gt; 0, 0, 1)</f>
        <v>0</v>
      </c>
      <c r="J22" s="16">
        <f>IF(COUNTIF(W$3:W$5, G22) &gt; 0, 0, 1)</f>
        <v>0</v>
      </c>
      <c r="K22" s="17"/>
      <c r="L22" s="16" t="s">
        <v>21</v>
      </c>
      <c r="M22" s="13"/>
      <c r="N22" s="18"/>
      <c r="O22" s="18"/>
      <c r="P22" s="18"/>
      <c r="Q22" s="15"/>
      <c r="R22" s="15"/>
      <c r="S22" s="19"/>
    </row>
    <row r="23" spans="1:19" x14ac:dyDescent="0.35">
      <c r="A23" s="20">
        <v>317</v>
      </c>
      <c r="B23" t="s">
        <v>105</v>
      </c>
      <c r="C23" t="s">
        <v>105</v>
      </c>
      <c r="D23" t="s">
        <v>105</v>
      </c>
      <c r="E23" t="s">
        <v>105</v>
      </c>
      <c r="F23" s="14">
        <v>0</v>
      </c>
      <c r="G23" s="15" t="s">
        <v>18</v>
      </c>
      <c r="H23" s="16">
        <f>INDEX(X:X, MATCH(G23, W:W, 0))*F23</f>
        <v>0</v>
      </c>
      <c r="I23" s="16">
        <f>IF(COUNTIF($W$3:$W$6, G23) &gt; 0, 0, 1)</f>
        <v>0</v>
      </c>
      <c r="J23" s="16">
        <f>IF(COUNTIF(W$3:W$5, G23) &gt; 0, 0, 1)</f>
        <v>0</v>
      </c>
      <c r="K23" s="17"/>
      <c r="L23" s="16" t="s">
        <v>21</v>
      </c>
      <c r="M23" s="13"/>
      <c r="N23" s="18"/>
      <c r="O23" s="18"/>
      <c r="P23" s="18"/>
      <c r="Q23" s="15"/>
      <c r="R23" s="15"/>
      <c r="S23" s="19"/>
    </row>
    <row r="24" spans="1:19" x14ac:dyDescent="0.35">
      <c r="A24" s="20">
        <v>331</v>
      </c>
      <c r="B24" t="s">
        <v>105</v>
      </c>
      <c r="C24" t="s">
        <v>105</v>
      </c>
      <c r="D24" t="s">
        <v>105</v>
      </c>
      <c r="E24" t="s">
        <v>105</v>
      </c>
      <c r="F24" s="14">
        <v>0</v>
      </c>
      <c r="G24" s="15" t="s">
        <v>18</v>
      </c>
      <c r="H24" s="16">
        <f>INDEX(X:X, MATCH(G24, W:W, 0))*F24</f>
        <v>0</v>
      </c>
      <c r="I24" s="16">
        <f>IF(COUNTIF($W$3:$W$6, G24) &gt; 0, 0, 1)</f>
        <v>0</v>
      </c>
      <c r="J24" s="16">
        <f>IF(COUNTIF(W$3:W$5, G24) &gt; 0, 0, 1)</f>
        <v>0</v>
      </c>
      <c r="K24" s="17"/>
      <c r="L24" s="16" t="s">
        <v>21</v>
      </c>
      <c r="M24" s="13"/>
      <c r="N24" s="18"/>
      <c r="O24" s="18"/>
      <c r="P24" s="18"/>
      <c r="Q24" s="15"/>
      <c r="R24" s="15"/>
      <c r="S24" s="19"/>
    </row>
    <row r="25" spans="1:19" x14ac:dyDescent="0.35">
      <c r="A25" s="20">
        <v>337</v>
      </c>
      <c r="B25" t="s">
        <v>105</v>
      </c>
      <c r="C25" t="s">
        <v>105</v>
      </c>
      <c r="D25" t="s">
        <v>105</v>
      </c>
      <c r="E25" t="s">
        <v>105</v>
      </c>
      <c r="F25" s="14">
        <v>0</v>
      </c>
      <c r="G25" s="15" t="s">
        <v>18</v>
      </c>
      <c r="H25" s="16">
        <f>INDEX(X:X, MATCH(G25, W:W, 0))*F25</f>
        <v>0</v>
      </c>
      <c r="I25" s="16">
        <f>IF(COUNTIF($W$3:$W$6, G25) &gt; 0, 0, 1)</f>
        <v>0</v>
      </c>
      <c r="J25" s="16">
        <f>IF(COUNTIF(W$3:W$5, G25) &gt; 0, 0, 1)</f>
        <v>0</v>
      </c>
      <c r="K25" s="17"/>
      <c r="L25" s="16" t="s">
        <v>21</v>
      </c>
      <c r="M25" s="13"/>
      <c r="N25" s="18"/>
      <c r="O25" s="18"/>
      <c r="P25" s="18"/>
      <c r="Q25" s="15"/>
      <c r="R25" s="15"/>
      <c r="S25" s="19"/>
    </row>
    <row r="26" spans="1:19" x14ac:dyDescent="0.35">
      <c r="A26" s="20">
        <v>338</v>
      </c>
      <c r="B26" t="s">
        <v>105</v>
      </c>
      <c r="C26" t="s">
        <v>105</v>
      </c>
      <c r="D26" t="s">
        <v>105</v>
      </c>
      <c r="E26" t="s">
        <v>105</v>
      </c>
      <c r="F26" s="14">
        <v>0</v>
      </c>
      <c r="G26" s="15" t="s">
        <v>18</v>
      </c>
      <c r="H26" s="16">
        <f>INDEX(X:X, MATCH(G26, W:W, 0))*F26</f>
        <v>0</v>
      </c>
      <c r="I26" s="16">
        <f>IF(COUNTIF($W$3:$W$6, G26) &gt; 0, 0, 1)</f>
        <v>0</v>
      </c>
      <c r="J26" s="16">
        <f>IF(COUNTIF(W$3:W$5, G26) &gt; 0, 0, 1)</f>
        <v>0</v>
      </c>
      <c r="K26" s="17"/>
      <c r="L26" s="16" t="s">
        <v>21</v>
      </c>
      <c r="M26" s="13"/>
      <c r="N26" s="18"/>
      <c r="O26" s="18"/>
      <c r="P26" s="18"/>
      <c r="Q26" s="15"/>
      <c r="R26" s="15"/>
      <c r="S26" s="19"/>
    </row>
    <row r="27" spans="1:19" x14ac:dyDescent="0.35">
      <c r="A27" s="20">
        <v>354</v>
      </c>
      <c r="B27" t="s">
        <v>105</v>
      </c>
      <c r="C27" t="s">
        <v>105</v>
      </c>
      <c r="D27" t="s">
        <v>105</v>
      </c>
      <c r="E27" t="s">
        <v>105</v>
      </c>
      <c r="F27" s="14">
        <v>0</v>
      </c>
      <c r="G27" s="15" t="s">
        <v>18</v>
      </c>
      <c r="H27" s="16">
        <f>INDEX(X:X, MATCH(G27, W:W, 0))*F27</f>
        <v>0</v>
      </c>
      <c r="I27" s="16">
        <f>IF(COUNTIF($W$3:$W$6, G27) &gt; 0, 0, 1)</f>
        <v>0</v>
      </c>
      <c r="J27" s="16">
        <f>IF(COUNTIF(W$3:W$5, G27) &gt; 0, 0, 1)</f>
        <v>0</v>
      </c>
      <c r="K27" s="17"/>
      <c r="L27" s="16" t="s">
        <v>21</v>
      </c>
      <c r="M27" s="13"/>
      <c r="N27" s="18"/>
      <c r="O27" s="18"/>
      <c r="P27" s="18"/>
      <c r="Q27" s="15"/>
      <c r="R27" s="15"/>
      <c r="S27" s="19"/>
    </row>
    <row r="28" spans="1:19" x14ac:dyDescent="0.35">
      <c r="A28" s="20">
        <v>355</v>
      </c>
      <c r="B28" t="s">
        <v>105</v>
      </c>
      <c r="C28" t="s">
        <v>105</v>
      </c>
      <c r="D28" t="s">
        <v>105</v>
      </c>
      <c r="E28" t="s">
        <v>105</v>
      </c>
      <c r="F28" s="14">
        <v>0</v>
      </c>
      <c r="G28" s="15" t="s">
        <v>18</v>
      </c>
      <c r="H28" s="16">
        <f>INDEX(X:X, MATCH(G28, W:W, 0))*F28</f>
        <v>0</v>
      </c>
      <c r="I28" s="16">
        <f>IF(COUNTIF($W$3:$W$6, G28) &gt; 0, 0, 1)</f>
        <v>0</v>
      </c>
      <c r="J28" s="16">
        <f>IF(COUNTIF(W$3:W$5, G28) &gt; 0, 0, 1)</f>
        <v>0</v>
      </c>
      <c r="K28" s="17"/>
      <c r="L28" s="16" t="s">
        <v>21</v>
      </c>
      <c r="M28" s="13"/>
      <c r="N28" s="18"/>
      <c r="O28" s="18"/>
      <c r="P28" s="18"/>
      <c r="Q28" s="15"/>
      <c r="R28" s="15"/>
      <c r="S28" s="19"/>
    </row>
    <row r="29" spans="1:19" x14ac:dyDescent="0.35">
      <c r="A29" s="20">
        <v>359</v>
      </c>
      <c r="B29" t="s">
        <v>105</v>
      </c>
      <c r="C29" t="s">
        <v>105</v>
      </c>
      <c r="D29" t="s">
        <v>105</v>
      </c>
      <c r="E29" t="s">
        <v>105</v>
      </c>
      <c r="F29" s="14">
        <v>0</v>
      </c>
      <c r="G29" s="15" t="s">
        <v>18</v>
      </c>
      <c r="H29" s="16">
        <f>INDEX(X:X, MATCH(G29, W:W, 0))*F29</f>
        <v>0</v>
      </c>
      <c r="I29" s="16">
        <f>IF(COUNTIF($W$3:$W$6, G29) &gt; 0, 0, 1)</f>
        <v>0</v>
      </c>
      <c r="J29" s="16">
        <f>IF(COUNTIF(W$3:W$5, G29) &gt; 0, 0, 1)</f>
        <v>0</v>
      </c>
      <c r="K29" s="17"/>
      <c r="L29" s="16" t="s">
        <v>21</v>
      </c>
      <c r="M29" s="13"/>
      <c r="N29" s="18"/>
      <c r="O29" s="18"/>
      <c r="P29" s="18"/>
      <c r="Q29" s="15"/>
      <c r="R29" s="15"/>
      <c r="S29" s="19"/>
    </row>
    <row r="30" spans="1:19" x14ac:dyDescent="0.35">
      <c r="A30" s="20">
        <v>387</v>
      </c>
      <c r="B30" t="s">
        <v>105</v>
      </c>
      <c r="C30" t="s">
        <v>105</v>
      </c>
      <c r="D30" t="s">
        <v>105</v>
      </c>
      <c r="E30" t="s">
        <v>105</v>
      </c>
      <c r="F30" s="14">
        <v>0</v>
      </c>
      <c r="G30" s="15" t="s">
        <v>18</v>
      </c>
      <c r="H30" s="16">
        <f>INDEX(X:X, MATCH(G30, W:W, 0))*F30</f>
        <v>0</v>
      </c>
      <c r="I30" s="16">
        <f>IF(COUNTIF($W$3:$W$6, G30) &gt; 0, 0, 1)</f>
        <v>0</v>
      </c>
      <c r="J30" s="16">
        <f>IF(COUNTIF(W$3:W$5, G30) &gt; 0, 0, 1)</f>
        <v>0</v>
      </c>
      <c r="K30" s="17"/>
      <c r="L30" s="16" t="s">
        <v>21</v>
      </c>
      <c r="M30" s="13"/>
      <c r="N30" s="18"/>
      <c r="O30" s="18"/>
      <c r="P30" s="18"/>
      <c r="Q30" s="15"/>
      <c r="R30" s="15"/>
      <c r="S30" s="19"/>
    </row>
    <row r="31" spans="1:19" x14ac:dyDescent="0.35">
      <c r="A31" s="20">
        <v>407</v>
      </c>
      <c r="B31" t="s">
        <v>105</v>
      </c>
      <c r="C31" t="s">
        <v>105</v>
      </c>
      <c r="D31" t="s">
        <v>105</v>
      </c>
      <c r="E31" t="s">
        <v>105</v>
      </c>
      <c r="F31" s="14">
        <v>0</v>
      </c>
      <c r="G31" s="15" t="s">
        <v>18</v>
      </c>
      <c r="H31" s="16">
        <f>INDEX(X:X, MATCH(G31, W:W, 0))*F31</f>
        <v>0</v>
      </c>
      <c r="I31" s="16">
        <f>IF(COUNTIF($W$3:$W$6, G31) &gt; 0, 0, 1)</f>
        <v>0</v>
      </c>
      <c r="J31" s="16">
        <f>IF(COUNTIF(W$3:W$5, G31) &gt; 0, 0, 1)</f>
        <v>0</v>
      </c>
      <c r="K31" s="17"/>
      <c r="L31" s="16" t="s">
        <v>21</v>
      </c>
      <c r="M31" s="13"/>
      <c r="N31" s="18"/>
      <c r="O31" s="18"/>
      <c r="P31" s="18"/>
      <c r="Q31" s="15"/>
      <c r="R31" s="15"/>
      <c r="S31" s="19"/>
    </row>
    <row r="32" spans="1:19" x14ac:dyDescent="0.35">
      <c r="A32" s="20">
        <v>409</v>
      </c>
      <c r="B32" t="s">
        <v>105</v>
      </c>
      <c r="C32" t="s">
        <v>105</v>
      </c>
      <c r="D32" t="s">
        <v>105</v>
      </c>
      <c r="E32" t="s">
        <v>105</v>
      </c>
      <c r="F32" s="14">
        <v>0</v>
      </c>
      <c r="G32" s="15" t="s">
        <v>18</v>
      </c>
      <c r="H32" s="16">
        <f>INDEX(X:X, MATCH(G32, W:W, 0))*F32</f>
        <v>0</v>
      </c>
      <c r="I32" s="16">
        <f>IF(COUNTIF($W$3:$W$6, G32) &gt; 0, 0, 1)</f>
        <v>0</v>
      </c>
      <c r="J32" s="16">
        <f>IF(COUNTIF(W$3:W$5, G32) &gt; 0, 0, 1)</f>
        <v>0</v>
      </c>
      <c r="K32" s="17"/>
      <c r="L32" s="16" t="s">
        <v>21</v>
      </c>
      <c r="M32" s="13"/>
      <c r="N32" s="18"/>
      <c r="O32" s="18"/>
      <c r="P32" s="18"/>
      <c r="Q32" s="15"/>
      <c r="R32" s="15"/>
      <c r="S32" s="19"/>
    </row>
    <row r="33" spans="1:19" x14ac:dyDescent="0.35">
      <c r="A33" s="20">
        <v>410</v>
      </c>
      <c r="B33" t="s">
        <v>105</v>
      </c>
      <c r="C33" t="s">
        <v>105</v>
      </c>
      <c r="D33" t="s">
        <v>105</v>
      </c>
      <c r="E33" t="s">
        <v>105</v>
      </c>
      <c r="F33" s="14">
        <v>0</v>
      </c>
      <c r="G33" s="15" t="s">
        <v>18</v>
      </c>
      <c r="H33" s="16">
        <f>INDEX(X:X, MATCH(G33, W:W, 0))*F33</f>
        <v>0</v>
      </c>
      <c r="I33" s="16">
        <f>IF(COUNTIF($W$3:$W$6, G33) &gt; 0, 0, 1)</f>
        <v>0</v>
      </c>
      <c r="J33" s="16">
        <f>IF(COUNTIF(W$3:W$5, G33) &gt; 0, 0, 1)</f>
        <v>0</v>
      </c>
      <c r="K33" s="17" t="s">
        <v>78</v>
      </c>
      <c r="L33" s="16" t="s">
        <v>21</v>
      </c>
      <c r="M33" s="13"/>
      <c r="N33" s="18"/>
      <c r="O33" s="18"/>
      <c r="P33" s="18"/>
      <c r="Q33" s="15"/>
      <c r="R33" s="15"/>
      <c r="S33" s="19"/>
    </row>
    <row r="34" spans="1:19" x14ac:dyDescent="0.35">
      <c r="A34" s="20">
        <v>411</v>
      </c>
      <c r="B34" t="s">
        <v>105</v>
      </c>
      <c r="C34" t="s">
        <v>105</v>
      </c>
      <c r="D34" t="s">
        <v>105</v>
      </c>
      <c r="E34" t="s">
        <v>105</v>
      </c>
      <c r="F34" s="14">
        <v>0</v>
      </c>
      <c r="G34" s="15" t="s">
        <v>18</v>
      </c>
      <c r="H34" s="16">
        <f>INDEX(X:X, MATCH(G34, W:W, 0))*F34</f>
        <v>0</v>
      </c>
      <c r="I34" s="16">
        <f>IF(COUNTIF($W$3:$W$6, G34) &gt; 0, 0, 1)</f>
        <v>0</v>
      </c>
      <c r="J34" s="16">
        <f>IF(COUNTIF(W$3:W$5, G34) &gt; 0, 0, 1)</f>
        <v>0</v>
      </c>
      <c r="K34" s="17"/>
      <c r="L34" s="16" t="s">
        <v>21</v>
      </c>
      <c r="M34" s="13"/>
      <c r="N34" s="18"/>
      <c r="O34" s="18"/>
      <c r="P34" s="18"/>
      <c r="Q34" s="15"/>
      <c r="R34" s="15"/>
      <c r="S34" s="19"/>
    </row>
    <row r="35" spans="1:19" x14ac:dyDescent="0.35">
      <c r="A35" s="20">
        <v>446</v>
      </c>
      <c r="B35" t="s">
        <v>105</v>
      </c>
      <c r="C35" t="s">
        <v>105</v>
      </c>
      <c r="D35" t="s">
        <v>105</v>
      </c>
      <c r="E35" t="s">
        <v>105</v>
      </c>
      <c r="F35" s="14">
        <v>0</v>
      </c>
      <c r="G35" s="15" t="s">
        <v>18</v>
      </c>
      <c r="H35" s="16">
        <f>INDEX(X:X, MATCH(G35, W:W, 0))*F35</f>
        <v>0</v>
      </c>
      <c r="I35" s="16">
        <f>IF(COUNTIF($W$3:$W$6, G35) &gt; 0, 0, 1)</f>
        <v>0</v>
      </c>
      <c r="J35" s="16">
        <f>IF(COUNTIF(W$3:W$5, G35) &gt; 0, 0, 1)</f>
        <v>0</v>
      </c>
      <c r="K35" s="17"/>
      <c r="L35" s="16" t="s">
        <v>21</v>
      </c>
      <c r="M35" s="13"/>
      <c r="N35" s="18"/>
      <c r="O35" s="18"/>
      <c r="P35" s="18"/>
      <c r="Q35" s="15"/>
      <c r="R35" s="15"/>
      <c r="S35" s="19"/>
    </row>
    <row r="36" spans="1:19" x14ac:dyDescent="0.35">
      <c r="A36" s="20">
        <v>449</v>
      </c>
      <c r="B36" t="s">
        <v>105</v>
      </c>
      <c r="C36" t="s">
        <v>105</v>
      </c>
      <c r="D36" t="s">
        <v>105</v>
      </c>
      <c r="E36" t="s">
        <v>105</v>
      </c>
      <c r="F36" s="14">
        <v>0</v>
      </c>
      <c r="G36" s="15" t="s">
        <v>18</v>
      </c>
      <c r="H36" s="16">
        <f>INDEX(X:X, MATCH(G36, W:W, 0))*F36</f>
        <v>0</v>
      </c>
      <c r="I36" s="16">
        <f>IF(COUNTIF($W$3:$W$6, G36) &gt; 0, 0, 1)</f>
        <v>0</v>
      </c>
      <c r="J36" s="16">
        <f>IF(COUNTIF(W$3:W$5, G36) &gt; 0, 0, 1)</f>
        <v>0</v>
      </c>
      <c r="K36" s="17"/>
      <c r="L36" s="16" t="s">
        <v>20</v>
      </c>
      <c r="M36" s="13"/>
      <c r="N36" s="18"/>
      <c r="O36" s="18"/>
      <c r="P36" s="18"/>
      <c r="Q36" s="15"/>
      <c r="R36" s="15"/>
      <c r="S36" s="19"/>
    </row>
    <row r="37" spans="1:19" x14ac:dyDescent="0.35">
      <c r="A37" s="20">
        <v>464</v>
      </c>
      <c r="B37" t="s">
        <v>105</v>
      </c>
      <c r="C37" t="s">
        <v>105</v>
      </c>
      <c r="D37" t="s">
        <v>105</v>
      </c>
      <c r="E37" t="s">
        <v>105</v>
      </c>
      <c r="F37" s="14">
        <v>0</v>
      </c>
      <c r="G37" s="15" t="s">
        <v>18</v>
      </c>
      <c r="H37" s="16">
        <f>INDEX(X:X, MATCH(G37, W:W, 0))*F37</f>
        <v>0</v>
      </c>
      <c r="I37" s="16">
        <f>IF(COUNTIF($W$3:$W$6, G37) &gt; 0, 0, 1)</f>
        <v>0</v>
      </c>
      <c r="J37" s="16">
        <f>IF(COUNTIF(W$3:W$5, G37) &gt; 0, 0, 1)</f>
        <v>0</v>
      </c>
      <c r="K37" s="17"/>
      <c r="L37" s="16" t="s">
        <v>21</v>
      </c>
      <c r="M37" s="13"/>
      <c r="N37" s="18"/>
      <c r="O37" s="18"/>
      <c r="P37" s="18"/>
      <c r="Q37" s="15"/>
      <c r="R37" s="15"/>
      <c r="S37" s="19"/>
    </row>
    <row r="38" spans="1:19" x14ac:dyDescent="0.35">
      <c r="A38" s="20">
        <v>466</v>
      </c>
      <c r="B38" t="s">
        <v>105</v>
      </c>
      <c r="C38" t="s">
        <v>105</v>
      </c>
      <c r="D38" t="s">
        <v>105</v>
      </c>
      <c r="E38" t="s">
        <v>105</v>
      </c>
      <c r="F38" s="24">
        <v>0</v>
      </c>
      <c r="G38" s="15" t="s">
        <v>18</v>
      </c>
      <c r="H38" s="16">
        <f>INDEX(X:X, MATCH(G38, W:W, 0))*F38</f>
        <v>0</v>
      </c>
      <c r="I38" s="16">
        <f>IF(COUNTIF($W$3:$W$6, G38) &gt; 0, 0, 1)</f>
        <v>0</v>
      </c>
      <c r="J38" s="16">
        <f>IF(COUNTIF(W$3:W$5, G38) &gt; 0, 0, 1)</f>
        <v>0</v>
      </c>
      <c r="K38" s="17"/>
      <c r="L38" s="48" t="s">
        <v>21</v>
      </c>
      <c r="M38" s="13"/>
      <c r="N38" s="18"/>
      <c r="O38" s="18"/>
      <c r="P38" s="18"/>
      <c r="Q38" s="15"/>
      <c r="R38" s="15"/>
      <c r="S38" s="19"/>
    </row>
    <row r="39" spans="1:19" x14ac:dyDescent="0.35">
      <c r="A39" s="20">
        <v>468</v>
      </c>
      <c r="B39" t="s">
        <v>105</v>
      </c>
      <c r="C39" t="s">
        <v>105</v>
      </c>
      <c r="D39" t="s">
        <v>105</v>
      </c>
      <c r="E39" t="s">
        <v>105</v>
      </c>
      <c r="F39" s="14">
        <v>0</v>
      </c>
      <c r="G39" s="15" t="s">
        <v>18</v>
      </c>
      <c r="H39" s="16">
        <f>INDEX(X:X, MATCH(G39, W:W, 0))*F39</f>
        <v>0</v>
      </c>
      <c r="I39" s="16">
        <f>IF(COUNTIF($W$3:$W$6, G39) &gt; 0, 0, 1)</f>
        <v>0</v>
      </c>
      <c r="J39" s="16">
        <f>IF(COUNTIF(W$3:W$5, G39) &gt; 0, 0, 1)</f>
        <v>0</v>
      </c>
      <c r="K39" s="17"/>
      <c r="L39" s="16" t="s">
        <v>20</v>
      </c>
      <c r="M39" s="13"/>
      <c r="N39" s="18"/>
      <c r="O39" s="18"/>
      <c r="P39" s="18"/>
      <c r="Q39" s="15"/>
      <c r="R39" s="15"/>
      <c r="S39" s="19"/>
    </row>
    <row r="40" spans="1:19" x14ac:dyDescent="0.35">
      <c r="A40" s="20">
        <v>470</v>
      </c>
      <c r="B40" t="s">
        <v>105</v>
      </c>
      <c r="C40" t="s">
        <v>105</v>
      </c>
      <c r="D40" t="s">
        <v>105</v>
      </c>
      <c r="E40" t="s">
        <v>105</v>
      </c>
      <c r="F40" s="14">
        <v>0</v>
      </c>
      <c r="G40" s="15" t="s">
        <v>18</v>
      </c>
      <c r="H40" s="16">
        <f>INDEX(X:X, MATCH(G40, W:W, 0))*F40</f>
        <v>0</v>
      </c>
      <c r="I40" s="16">
        <f>IF(COUNTIF($W$3:$W$6, G40) &gt; 0, 0, 1)</f>
        <v>0</v>
      </c>
      <c r="J40" s="16">
        <f>IF(COUNTIF(W$3:W$5, G40) &gt; 0, 0, 1)</f>
        <v>0</v>
      </c>
      <c r="K40" s="17"/>
      <c r="L40" s="16" t="s">
        <v>20</v>
      </c>
      <c r="M40" s="13"/>
      <c r="N40" s="18"/>
      <c r="O40" s="18"/>
      <c r="P40" s="18"/>
      <c r="Q40" s="15"/>
      <c r="R40" s="15"/>
      <c r="S40" s="19"/>
    </row>
    <row r="41" spans="1:19" x14ac:dyDescent="0.35">
      <c r="A41" s="20">
        <v>482</v>
      </c>
      <c r="B41" t="s">
        <v>105</v>
      </c>
      <c r="C41" t="s">
        <v>105</v>
      </c>
      <c r="D41" t="s">
        <v>105</v>
      </c>
      <c r="E41" t="s">
        <v>105</v>
      </c>
      <c r="F41" s="14">
        <v>0</v>
      </c>
      <c r="G41" s="15" t="s">
        <v>18</v>
      </c>
      <c r="H41" s="16">
        <f>INDEX(X:X, MATCH(G41, W:W, 0))*F41</f>
        <v>0</v>
      </c>
      <c r="I41" s="16">
        <f>IF(COUNTIF($W$3:$W$6, G41) &gt; 0, 0, 1)</f>
        <v>0</v>
      </c>
      <c r="J41" s="16">
        <f>IF(COUNTIF(W$3:W$5, G41) &gt; 0, 0, 1)</f>
        <v>0</v>
      </c>
      <c r="K41" s="17" t="s">
        <v>40</v>
      </c>
      <c r="L41" s="16" t="s">
        <v>21</v>
      </c>
      <c r="M41" s="13"/>
      <c r="N41" s="18"/>
      <c r="O41" s="18"/>
      <c r="P41" s="18"/>
      <c r="Q41" s="15"/>
      <c r="R41" s="15"/>
      <c r="S41" s="19"/>
    </row>
    <row r="42" spans="1:19" x14ac:dyDescent="0.35">
      <c r="A42" s="20">
        <v>485</v>
      </c>
      <c r="B42" t="s">
        <v>105</v>
      </c>
      <c r="C42" t="s">
        <v>105</v>
      </c>
      <c r="D42" t="s">
        <v>105</v>
      </c>
      <c r="E42" t="s">
        <v>105</v>
      </c>
      <c r="F42" s="14">
        <v>0</v>
      </c>
      <c r="G42" s="15" t="s">
        <v>18</v>
      </c>
      <c r="H42" s="16">
        <f>INDEX(X:X, MATCH(G42, W:W, 0))*F42</f>
        <v>0</v>
      </c>
      <c r="I42" s="16">
        <f>IF(COUNTIF($W$3:$W$6, G42) &gt; 0, 0, 1)</f>
        <v>0</v>
      </c>
      <c r="J42" s="16">
        <f>IF(COUNTIF(W$3:W$5, G42) &gt; 0, 0, 1)</f>
        <v>0</v>
      </c>
      <c r="K42" s="17"/>
      <c r="L42" s="16" t="s">
        <v>21</v>
      </c>
      <c r="M42" s="13"/>
      <c r="N42" s="18"/>
      <c r="O42" s="18"/>
      <c r="P42" s="18"/>
      <c r="Q42" s="15"/>
      <c r="R42" s="15"/>
      <c r="S42" s="19"/>
    </row>
    <row r="43" spans="1:19" x14ac:dyDescent="0.35">
      <c r="A43" s="20">
        <v>489</v>
      </c>
      <c r="B43" t="s">
        <v>105</v>
      </c>
      <c r="C43" t="s">
        <v>105</v>
      </c>
      <c r="D43" t="s">
        <v>105</v>
      </c>
      <c r="E43" t="s">
        <v>105</v>
      </c>
      <c r="F43" s="14">
        <v>0</v>
      </c>
      <c r="G43" s="15" t="s">
        <v>18</v>
      </c>
      <c r="H43" s="16">
        <f>INDEX(X:X, MATCH(G43, W:W, 0))*F43</f>
        <v>0</v>
      </c>
      <c r="I43" s="16">
        <f>IF(COUNTIF($W$3:$W$6, G43) &gt; 0, 0, 1)</f>
        <v>0</v>
      </c>
      <c r="J43" s="16">
        <f>IF(COUNTIF(W$3:W$5, G43) &gt; 0, 0, 1)</f>
        <v>0</v>
      </c>
      <c r="K43" s="17"/>
      <c r="L43" s="16" t="s">
        <v>21</v>
      </c>
      <c r="M43" s="13"/>
      <c r="N43" s="18"/>
      <c r="O43" s="18"/>
      <c r="P43" s="18"/>
      <c r="Q43" s="15"/>
      <c r="R43" s="15"/>
      <c r="S43" s="19"/>
    </row>
    <row r="44" spans="1:19" x14ac:dyDescent="0.35">
      <c r="A44" s="20">
        <v>490</v>
      </c>
      <c r="B44" t="s">
        <v>105</v>
      </c>
      <c r="C44" t="s">
        <v>105</v>
      </c>
      <c r="D44" t="s">
        <v>105</v>
      </c>
      <c r="E44" t="s">
        <v>105</v>
      </c>
      <c r="F44" s="14">
        <v>0</v>
      </c>
      <c r="G44" s="15" t="s">
        <v>18</v>
      </c>
      <c r="H44" s="16">
        <f>INDEX(X:X, MATCH(G44, W:W, 0))*F44</f>
        <v>0</v>
      </c>
      <c r="I44" s="16">
        <f>IF(COUNTIF($W$3:$W$6, G44) &gt; 0, 0, 1)</f>
        <v>0</v>
      </c>
      <c r="J44" s="16">
        <f>IF(COUNTIF(W$3:W$5, G44) &gt; 0, 0, 1)</f>
        <v>0</v>
      </c>
      <c r="K44" s="17"/>
      <c r="L44" s="16" t="s">
        <v>21</v>
      </c>
      <c r="M44" s="13"/>
      <c r="N44" s="18"/>
      <c r="O44" s="18"/>
      <c r="P44" s="18"/>
      <c r="Q44" s="15"/>
      <c r="R44" s="15"/>
      <c r="S44" s="19"/>
    </row>
    <row r="45" spans="1:19" x14ac:dyDescent="0.35">
      <c r="A45" s="20">
        <v>504</v>
      </c>
      <c r="B45" t="s">
        <v>105</v>
      </c>
      <c r="C45" t="s">
        <v>105</v>
      </c>
      <c r="D45" t="s">
        <v>105</v>
      </c>
      <c r="E45" t="s">
        <v>105</v>
      </c>
      <c r="F45" s="14">
        <v>0</v>
      </c>
      <c r="G45" s="15" t="s">
        <v>18</v>
      </c>
      <c r="H45" s="16">
        <f>INDEX(X:X, MATCH(G45, W:W, 0))*F45</f>
        <v>0</v>
      </c>
      <c r="I45" s="16">
        <f>IF(COUNTIF($W$3:$W$6, G45) &gt; 0, 0, 1)</f>
        <v>0</v>
      </c>
      <c r="J45" s="16">
        <f>IF(COUNTIF(W$3:W$5, G45) &gt; 0, 0, 1)</f>
        <v>0</v>
      </c>
      <c r="K45" s="17"/>
      <c r="L45" s="16" t="s">
        <v>20</v>
      </c>
      <c r="M45" s="13"/>
      <c r="N45" s="18"/>
      <c r="O45" s="18"/>
      <c r="P45" s="18"/>
      <c r="Q45" s="15"/>
      <c r="R45" s="15"/>
      <c r="S45" s="19"/>
    </row>
    <row r="46" spans="1:19" x14ac:dyDescent="0.35">
      <c r="A46" s="20">
        <v>521</v>
      </c>
      <c r="B46" t="s">
        <v>105</v>
      </c>
      <c r="C46" t="s">
        <v>105</v>
      </c>
      <c r="D46" t="s">
        <v>105</v>
      </c>
      <c r="E46" t="s">
        <v>105</v>
      </c>
      <c r="F46" s="14">
        <v>0</v>
      </c>
      <c r="G46" s="15" t="s">
        <v>18</v>
      </c>
      <c r="H46" s="16">
        <f>INDEX(X:X, MATCH(G46, W:W, 0))*F46</f>
        <v>0</v>
      </c>
      <c r="I46" s="16">
        <f>IF(COUNTIF($W$3:$W$6, G46) &gt; 0, 0, 1)</f>
        <v>0</v>
      </c>
      <c r="J46" s="16">
        <f>IF(COUNTIF(W$3:W$5, G46) &gt; 0, 0, 1)</f>
        <v>0</v>
      </c>
      <c r="K46" s="17"/>
      <c r="L46" s="16" t="s">
        <v>21</v>
      </c>
      <c r="M46" s="13"/>
      <c r="N46" s="18"/>
      <c r="O46" s="18"/>
      <c r="P46" s="18"/>
      <c r="Q46" s="15"/>
      <c r="R46" s="15"/>
      <c r="S46" s="19"/>
    </row>
    <row r="47" spans="1:19" x14ac:dyDescent="0.35">
      <c r="A47" s="20">
        <v>522</v>
      </c>
      <c r="B47" t="s">
        <v>105</v>
      </c>
      <c r="C47" t="s">
        <v>105</v>
      </c>
      <c r="D47" t="s">
        <v>105</v>
      </c>
      <c r="E47" t="s">
        <v>105</v>
      </c>
      <c r="F47" s="14">
        <v>0</v>
      </c>
      <c r="G47" s="15" t="s">
        <v>18</v>
      </c>
      <c r="H47" s="16">
        <f>INDEX(X:X, MATCH(G47, W:W, 0))*F47</f>
        <v>0</v>
      </c>
      <c r="I47" s="16">
        <f>IF(COUNTIF($W$3:$W$6, G47) &gt; 0, 0, 1)</f>
        <v>0</v>
      </c>
      <c r="J47" s="16">
        <f>IF(COUNTIF(W$3:W$5, G47) &gt; 0, 0, 1)</f>
        <v>0</v>
      </c>
      <c r="K47" s="17"/>
      <c r="L47" s="16" t="s">
        <v>21</v>
      </c>
      <c r="M47" s="13"/>
      <c r="N47" s="18"/>
      <c r="O47" s="18"/>
      <c r="P47" s="18"/>
      <c r="Q47" s="15"/>
      <c r="R47" s="15"/>
      <c r="S47" s="19"/>
    </row>
    <row r="48" spans="1:19" x14ac:dyDescent="0.35">
      <c r="A48" s="20">
        <v>536</v>
      </c>
      <c r="B48" t="s">
        <v>105</v>
      </c>
      <c r="C48" t="s">
        <v>105</v>
      </c>
      <c r="D48" t="s">
        <v>105</v>
      </c>
      <c r="E48" t="s">
        <v>105</v>
      </c>
      <c r="F48" s="14">
        <v>0</v>
      </c>
      <c r="G48" s="15" t="s">
        <v>18</v>
      </c>
      <c r="H48" s="16">
        <f>INDEX(X:X, MATCH(G48, W:W, 0))*F48</f>
        <v>0</v>
      </c>
      <c r="I48" s="16">
        <f>IF(COUNTIF($W$3:$W$6, G48) &gt; 0, 0, 1)</f>
        <v>0</v>
      </c>
      <c r="J48" s="16">
        <f>IF(COUNTIF(W$3:W$5, G48) &gt; 0, 0, 1)</f>
        <v>0</v>
      </c>
      <c r="K48" s="17"/>
      <c r="L48" s="16" t="s">
        <v>21</v>
      </c>
      <c r="M48" s="13"/>
      <c r="N48" s="18"/>
      <c r="O48" s="18"/>
      <c r="P48" s="18"/>
      <c r="Q48" s="15"/>
      <c r="R48" s="15"/>
      <c r="S48" s="19"/>
    </row>
    <row r="49" spans="1:19" x14ac:dyDescent="0.35">
      <c r="A49" s="20">
        <v>537</v>
      </c>
      <c r="B49" t="s">
        <v>105</v>
      </c>
      <c r="C49" t="s">
        <v>105</v>
      </c>
      <c r="D49" t="s">
        <v>105</v>
      </c>
      <c r="E49" t="s">
        <v>105</v>
      </c>
      <c r="F49" s="14">
        <v>0</v>
      </c>
      <c r="G49" s="15" t="s">
        <v>18</v>
      </c>
      <c r="H49" s="16">
        <f>INDEX(X:X, MATCH(G49, W:W, 0))*F49</f>
        <v>0</v>
      </c>
      <c r="I49" s="16">
        <f>IF(COUNTIF($W$3:$W$6, G49) &gt; 0, 0, 1)</f>
        <v>0</v>
      </c>
      <c r="J49" s="16">
        <f>IF(COUNTIF(W$3:W$5, G49) &gt; 0, 0, 1)</f>
        <v>0</v>
      </c>
      <c r="K49" s="17"/>
      <c r="L49" s="16" t="s">
        <v>21</v>
      </c>
      <c r="M49" s="13"/>
      <c r="N49" s="18"/>
      <c r="O49" s="18"/>
      <c r="P49" s="18"/>
      <c r="Q49" s="15"/>
      <c r="R49" s="15"/>
      <c r="S49" s="19"/>
    </row>
    <row r="50" spans="1:19" x14ac:dyDescent="0.35">
      <c r="A50" s="20">
        <v>542</v>
      </c>
      <c r="B50" t="s">
        <v>105</v>
      </c>
      <c r="C50" t="s">
        <v>105</v>
      </c>
      <c r="D50" t="s">
        <v>105</v>
      </c>
      <c r="E50" t="s">
        <v>105</v>
      </c>
      <c r="F50" s="14">
        <v>0</v>
      </c>
      <c r="G50" s="15" t="s">
        <v>18</v>
      </c>
      <c r="H50" s="16">
        <f>INDEX(X:X, MATCH(G50, W:W, 0))*F50</f>
        <v>0</v>
      </c>
      <c r="I50" s="16">
        <f>IF(COUNTIF($W$3:$W$6, G50) &gt; 0, 0, 1)</f>
        <v>0</v>
      </c>
      <c r="J50" s="16">
        <f>IF(COUNTIF(W$3:W$5, G50) &gt; 0, 0, 1)</f>
        <v>0</v>
      </c>
      <c r="K50" s="17"/>
      <c r="L50" s="16" t="s">
        <v>20</v>
      </c>
      <c r="M50" s="13"/>
      <c r="N50" s="18"/>
      <c r="O50" s="18"/>
      <c r="P50" s="18"/>
      <c r="Q50" s="15"/>
      <c r="R50" s="15"/>
      <c r="S50" s="19"/>
    </row>
    <row r="51" spans="1:19" x14ac:dyDescent="0.35">
      <c r="A51" s="20">
        <v>544</v>
      </c>
      <c r="B51" t="s">
        <v>105</v>
      </c>
      <c r="C51" t="s">
        <v>105</v>
      </c>
      <c r="D51" t="s">
        <v>105</v>
      </c>
      <c r="E51" t="s">
        <v>105</v>
      </c>
      <c r="F51" s="14">
        <v>0</v>
      </c>
      <c r="G51" s="15" t="s">
        <v>18</v>
      </c>
      <c r="H51" s="16">
        <f>INDEX(X:X, MATCH(G51, W:W, 0))*F51</f>
        <v>0</v>
      </c>
      <c r="I51" s="16">
        <f>IF(COUNTIF($W$3:$W$6, G51) &gt; 0, 0, 1)</f>
        <v>0</v>
      </c>
      <c r="J51" s="16">
        <f>IF(COUNTIF(W$3:W$5, G51) &gt; 0, 0, 1)</f>
        <v>0</v>
      </c>
      <c r="K51" s="17"/>
      <c r="L51" s="16" t="s">
        <v>21</v>
      </c>
      <c r="M51" s="13"/>
      <c r="N51" s="18"/>
      <c r="O51" s="18"/>
      <c r="P51" s="18"/>
      <c r="Q51" s="15"/>
      <c r="R51" s="15"/>
      <c r="S51" s="19"/>
    </row>
    <row r="52" spans="1:19" x14ac:dyDescent="0.35">
      <c r="A52" s="20">
        <v>545</v>
      </c>
      <c r="B52" t="s">
        <v>105</v>
      </c>
      <c r="C52" t="s">
        <v>105</v>
      </c>
      <c r="D52" t="s">
        <v>105</v>
      </c>
      <c r="E52" t="s">
        <v>105</v>
      </c>
      <c r="F52" s="14">
        <v>0</v>
      </c>
      <c r="G52" s="15" t="s">
        <v>18</v>
      </c>
      <c r="H52" s="16">
        <f>INDEX(X:X, MATCH(G52, W:W, 0))*F52</f>
        <v>0</v>
      </c>
      <c r="I52" s="16">
        <f>IF(COUNTIF($W$3:$W$6, G52) &gt; 0, 0, 1)</f>
        <v>0</v>
      </c>
      <c r="J52" s="16">
        <f>IF(COUNTIF(W$3:W$5, G52) &gt; 0, 0, 1)</f>
        <v>0</v>
      </c>
      <c r="K52" s="17"/>
      <c r="L52" s="16" t="s">
        <v>21</v>
      </c>
      <c r="M52" s="13"/>
      <c r="N52" s="18"/>
      <c r="O52" s="18"/>
      <c r="P52" s="18"/>
      <c r="Q52" s="15"/>
      <c r="R52" s="15"/>
      <c r="S52" s="19"/>
    </row>
    <row r="53" spans="1:19" x14ac:dyDescent="0.35">
      <c r="A53" s="20">
        <v>556</v>
      </c>
      <c r="B53" t="s">
        <v>105</v>
      </c>
      <c r="C53" t="s">
        <v>105</v>
      </c>
      <c r="D53" t="s">
        <v>105</v>
      </c>
      <c r="E53" t="s">
        <v>105</v>
      </c>
      <c r="F53" s="14">
        <v>0</v>
      </c>
      <c r="G53" s="15" t="s">
        <v>18</v>
      </c>
      <c r="H53" s="16">
        <f>INDEX(X:X, MATCH(G53, W:W, 0))*F53</f>
        <v>0</v>
      </c>
      <c r="I53" s="16">
        <f>IF(COUNTIF($W$3:$W$6, G53) &gt; 0, 0, 1)</f>
        <v>0</v>
      </c>
      <c r="J53" s="16">
        <f>IF(COUNTIF(W$3:W$5, G53) &gt; 0, 0, 1)</f>
        <v>0</v>
      </c>
      <c r="K53" s="17"/>
      <c r="L53" s="16" t="s">
        <v>21</v>
      </c>
      <c r="M53" s="13"/>
      <c r="N53" s="18"/>
      <c r="O53" s="18"/>
      <c r="P53" s="18"/>
      <c r="Q53" s="15"/>
      <c r="R53" s="15"/>
      <c r="S53" s="19"/>
    </row>
    <row r="54" spans="1:19" x14ac:dyDescent="0.35">
      <c r="A54" s="20">
        <v>557</v>
      </c>
      <c r="B54" t="s">
        <v>105</v>
      </c>
      <c r="C54" t="s">
        <v>105</v>
      </c>
      <c r="D54" t="s">
        <v>105</v>
      </c>
      <c r="E54" t="s">
        <v>105</v>
      </c>
      <c r="F54" s="14">
        <v>0</v>
      </c>
      <c r="G54" s="15" t="s">
        <v>18</v>
      </c>
      <c r="H54" s="16">
        <f>INDEX(X:X, MATCH(G54, W:W, 0))*F54</f>
        <v>0</v>
      </c>
      <c r="I54" s="16">
        <f>IF(COUNTIF($W$3:$W$6, G54) &gt; 0, 0, 1)</f>
        <v>0</v>
      </c>
      <c r="J54" s="16">
        <f>IF(COUNTIF(W$3:W$5, G54) &gt; 0, 0, 1)</f>
        <v>0</v>
      </c>
      <c r="K54" s="17"/>
      <c r="L54" s="16" t="s">
        <v>21</v>
      </c>
      <c r="M54" s="13"/>
      <c r="N54" s="18"/>
      <c r="O54" s="18"/>
      <c r="P54" s="18"/>
      <c r="Q54" s="15"/>
      <c r="R54" s="15"/>
      <c r="S54" s="19"/>
    </row>
    <row r="55" spans="1:19" x14ac:dyDescent="0.35">
      <c r="A55" s="20">
        <v>559</v>
      </c>
      <c r="B55" t="s">
        <v>105</v>
      </c>
      <c r="C55" t="s">
        <v>105</v>
      </c>
      <c r="D55" t="s">
        <v>105</v>
      </c>
      <c r="E55" t="s">
        <v>105</v>
      </c>
      <c r="F55" s="14">
        <v>0</v>
      </c>
      <c r="G55" s="15" t="s">
        <v>18</v>
      </c>
      <c r="H55" s="16">
        <f>INDEX(X:X, MATCH(G55, W:W, 0))*F55</f>
        <v>0</v>
      </c>
      <c r="I55" s="16">
        <f>IF(COUNTIF($W$3:$W$6, G55) &gt; 0, 0, 1)</f>
        <v>0</v>
      </c>
      <c r="J55" s="16">
        <f>IF(COUNTIF(W$3:W$5, G55) &gt; 0, 0, 1)</f>
        <v>0</v>
      </c>
      <c r="K55" s="17"/>
      <c r="L55" s="16" t="s">
        <v>21</v>
      </c>
      <c r="M55" s="13"/>
      <c r="N55" s="18"/>
      <c r="O55" s="18"/>
      <c r="P55" s="18"/>
      <c r="Q55" s="15"/>
      <c r="R55" s="15"/>
      <c r="S55" s="19"/>
    </row>
    <row r="56" spans="1:19" x14ac:dyDescent="0.35">
      <c r="A56" s="20">
        <v>560</v>
      </c>
      <c r="B56" t="s">
        <v>105</v>
      </c>
      <c r="C56" t="s">
        <v>105</v>
      </c>
      <c r="D56" t="s">
        <v>105</v>
      </c>
      <c r="E56" t="s">
        <v>105</v>
      </c>
      <c r="F56" s="14">
        <v>0</v>
      </c>
      <c r="G56" s="15" t="s">
        <v>18</v>
      </c>
      <c r="H56" s="16">
        <f>INDEX(X:X, MATCH(G56, W:W, 0))*F56</f>
        <v>0</v>
      </c>
      <c r="I56" s="16">
        <f>IF(COUNTIF($W$3:$W$6, G56) &gt; 0, 0, 1)</f>
        <v>0</v>
      </c>
      <c r="J56" s="16">
        <f>IF(COUNTIF(W$3:W$5, G56) &gt; 0, 0, 1)</f>
        <v>0</v>
      </c>
      <c r="K56" s="17"/>
      <c r="L56" s="16" t="s">
        <v>21</v>
      </c>
      <c r="M56" s="13"/>
      <c r="N56" s="18"/>
      <c r="O56" s="18"/>
      <c r="P56" s="18"/>
      <c r="Q56" s="15"/>
      <c r="R56" s="15"/>
      <c r="S56" s="19"/>
    </row>
    <row r="57" spans="1:19" x14ac:dyDescent="0.35">
      <c r="A57" s="20">
        <v>562</v>
      </c>
      <c r="B57" t="s">
        <v>105</v>
      </c>
      <c r="C57" t="s">
        <v>105</v>
      </c>
      <c r="D57" t="s">
        <v>105</v>
      </c>
      <c r="E57" t="s">
        <v>105</v>
      </c>
      <c r="F57" s="48">
        <v>0</v>
      </c>
      <c r="G57" s="15" t="s">
        <v>18</v>
      </c>
      <c r="H57" s="16">
        <f>INDEX(X:X, MATCH(G57, W:W, 0))*F57</f>
        <v>0</v>
      </c>
      <c r="I57" s="16">
        <f>IF(COUNTIF($W$3:$W$6, G57) &gt; 0, 0, 1)</f>
        <v>0</v>
      </c>
      <c r="J57" s="16">
        <f>IF(COUNTIF(W$3:W$5, G57) &gt; 0, 0, 1)</f>
        <v>0</v>
      </c>
      <c r="K57" s="17"/>
      <c r="L57" s="48" t="s">
        <v>21</v>
      </c>
      <c r="M57" s="13"/>
      <c r="N57" s="18"/>
      <c r="O57" s="18"/>
      <c r="P57" s="18"/>
      <c r="Q57" s="15"/>
      <c r="R57" s="15"/>
      <c r="S57" s="19"/>
    </row>
    <row r="58" spans="1:19" x14ac:dyDescent="0.35">
      <c r="A58" s="20">
        <v>563</v>
      </c>
      <c r="B58" t="s">
        <v>105</v>
      </c>
      <c r="C58" t="s">
        <v>105</v>
      </c>
      <c r="D58" t="s">
        <v>105</v>
      </c>
      <c r="E58" t="s">
        <v>105</v>
      </c>
      <c r="F58" s="14">
        <v>0</v>
      </c>
      <c r="G58" s="15" t="s">
        <v>18</v>
      </c>
      <c r="H58" s="16">
        <f>INDEX(X:X, MATCH(G58, W:W, 0))*F58</f>
        <v>0</v>
      </c>
      <c r="I58" s="16">
        <f>IF(COUNTIF($W$3:$W$6, G58) &gt; 0, 0, 1)</f>
        <v>0</v>
      </c>
      <c r="J58" s="16">
        <f>IF(COUNTIF(W$3:W$5, G58) &gt; 0, 0, 1)</f>
        <v>0</v>
      </c>
      <c r="K58" s="17"/>
      <c r="L58" s="16" t="s">
        <v>20</v>
      </c>
      <c r="M58" s="13"/>
      <c r="N58" s="18"/>
      <c r="O58" s="18"/>
      <c r="P58" s="18"/>
      <c r="Q58" s="15"/>
      <c r="R58" s="15"/>
      <c r="S58" s="19"/>
    </row>
    <row r="59" spans="1:19" x14ac:dyDescent="0.35">
      <c r="A59" s="20">
        <v>564</v>
      </c>
      <c r="B59" t="s">
        <v>105</v>
      </c>
      <c r="C59" t="s">
        <v>105</v>
      </c>
      <c r="D59" t="s">
        <v>105</v>
      </c>
      <c r="E59" t="s">
        <v>105</v>
      </c>
      <c r="F59" s="14">
        <v>0</v>
      </c>
      <c r="G59" s="15" t="s">
        <v>18</v>
      </c>
      <c r="H59" s="16">
        <f>INDEX(X:X, MATCH(G59, W:W, 0))*F59</f>
        <v>0</v>
      </c>
      <c r="I59" s="16">
        <f>IF(COUNTIF($W$3:$W$6, G59) &gt; 0, 0, 1)</f>
        <v>0</v>
      </c>
      <c r="J59" s="16">
        <f>IF(COUNTIF(W$3:W$5, G59) &gt; 0, 0, 1)</f>
        <v>0</v>
      </c>
      <c r="K59" s="17"/>
      <c r="L59" s="16" t="s">
        <v>21</v>
      </c>
      <c r="M59" s="13"/>
      <c r="N59" s="18"/>
      <c r="O59" s="18"/>
      <c r="P59" s="18"/>
      <c r="Q59" s="15"/>
      <c r="R59" s="15"/>
      <c r="S59" s="19"/>
    </row>
    <row r="60" spans="1:19" x14ac:dyDescent="0.35">
      <c r="A60" s="20">
        <v>579</v>
      </c>
      <c r="B60" t="s">
        <v>105</v>
      </c>
      <c r="C60" t="s">
        <v>105</v>
      </c>
      <c r="D60" t="s">
        <v>105</v>
      </c>
      <c r="E60" t="s">
        <v>105</v>
      </c>
      <c r="F60" s="14">
        <v>0</v>
      </c>
      <c r="G60" s="15" t="s">
        <v>18</v>
      </c>
      <c r="H60" s="16">
        <f>INDEX(X:X, MATCH(G60, W:W, 0))*F60</f>
        <v>0</v>
      </c>
      <c r="I60" s="16">
        <f>IF(COUNTIF($W$3:$W$6, G60) &gt; 0, 0, 1)</f>
        <v>0</v>
      </c>
      <c r="J60" s="16">
        <f>IF(COUNTIF(W$3:W$5, G60) &gt; 0, 0, 1)</f>
        <v>0</v>
      </c>
      <c r="K60" s="17"/>
      <c r="L60" s="16" t="s">
        <v>21</v>
      </c>
      <c r="M60" s="13"/>
      <c r="N60" s="18"/>
      <c r="O60" s="18"/>
      <c r="P60" s="18"/>
      <c r="Q60" s="15"/>
      <c r="R60" s="15"/>
      <c r="S60" s="19"/>
    </row>
    <row r="61" spans="1:19" x14ac:dyDescent="0.35">
      <c r="A61" s="20">
        <v>582</v>
      </c>
      <c r="B61" t="s">
        <v>105</v>
      </c>
      <c r="C61" t="s">
        <v>105</v>
      </c>
      <c r="D61" t="s">
        <v>105</v>
      </c>
      <c r="E61" t="s">
        <v>105</v>
      </c>
      <c r="F61" s="14">
        <v>0</v>
      </c>
      <c r="G61" s="15" t="s">
        <v>18</v>
      </c>
      <c r="H61" s="16">
        <f>INDEX(X:X, MATCH(G61, W:W, 0))*F61</f>
        <v>0</v>
      </c>
      <c r="I61" s="16">
        <f>IF(COUNTIF($W$3:$W$6, G61) &gt; 0, 0, 1)</f>
        <v>0</v>
      </c>
      <c r="J61" s="16">
        <f>IF(COUNTIF(W$3:W$5, G61) &gt; 0, 0, 1)</f>
        <v>0</v>
      </c>
      <c r="K61" s="17"/>
      <c r="L61" s="16" t="s">
        <v>21</v>
      </c>
      <c r="M61" s="13"/>
      <c r="N61" s="18"/>
      <c r="O61" s="18"/>
      <c r="P61" s="18"/>
      <c r="Q61" s="15"/>
      <c r="R61" s="15"/>
      <c r="S61" s="19"/>
    </row>
    <row r="62" spans="1:19" x14ac:dyDescent="0.35">
      <c r="A62" s="20">
        <v>583</v>
      </c>
      <c r="B62" t="s">
        <v>105</v>
      </c>
      <c r="C62" t="s">
        <v>105</v>
      </c>
      <c r="D62" t="s">
        <v>105</v>
      </c>
      <c r="E62" t="s">
        <v>105</v>
      </c>
      <c r="F62" s="14">
        <v>0</v>
      </c>
      <c r="G62" s="15" t="s">
        <v>18</v>
      </c>
      <c r="H62" s="16">
        <f>INDEX(X:X, MATCH(G62, W:W, 0))*F62</f>
        <v>0</v>
      </c>
      <c r="I62" s="16">
        <f>IF(COUNTIF($W$3:$W$6, G62) &gt; 0, 0, 1)</f>
        <v>0</v>
      </c>
      <c r="J62" s="16">
        <f>IF(COUNTIF(W$3:W$5, G62) &gt; 0, 0, 1)</f>
        <v>0</v>
      </c>
      <c r="K62" s="17"/>
      <c r="L62" s="16" t="s">
        <v>20</v>
      </c>
      <c r="M62" s="13"/>
      <c r="N62" s="18"/>
      <c r="O62" s="18"/>
      <c r="P62" s="18"/>
      <c r="Q62" s="15"/>
      <c r="R62" s="15"/>
      <c r="S62" s="19"/>
    </row>
    <row r="63" spans="1:19" x14ac:dyDescent="0.35">
      <c r="A63" s="20">
        <v>588</v>
      </c>
      <c r="B63" t="s">
        <v>105</v>
      </c>
      <c r="C63" t="s">
        <v>105</v>
      </c>
      <c r="D63" t="s">
        <v>105</v>
      </c>
      <c r="E63" t="s">
        <v>105</v>
      </c>
      <c r="F63" s="14">
        <v>0</v>
      </c>
      <c r="G63" s="15" t="s">
        <v>18</v>
      </c>
      <c r="H63" s="16">
        <f>INDEX(X:X, MATCH(G63, W:W, 0))*F63</f>
        <v>0</v>
      </c>
      <c r="I63" s="16">
        <f>IF(COUNTIF($W$3:$W$6, G63) &gt; 0, 0, 1)</f>
        <v>0</v>
      </c>
      <c r="J63" s="16">
        <f>IF(COUNTIF(W$3:W$5, G63) &gt; 0, 0, 1)</f>
        <v>0</v>
      </c>
      <c r="K63" s="17"/>
      <c r="L63" s="16" t="s">
        <v>20</v>
      </c>
      <c r="M63" s="13"/>
      <c r="N63" s="18"/>
      <c r="O63" s="18"/>
      <c r="P63" s="18"/>
      <c r="Q63" s="15"/>
      <c r="R63" s="15"/>
      <c r="S63" s="19"/>
    </row>
    <row r="64" spans="1:19" x14ac:dyDescent="0.35">
      <c r="A64" s="20">
        <v>589</v>
      </c>
      <c r="B64" t="s">
        <v>105</v>
      </c>
      <c r="C64" t="s">
        <v>105</v>
      </c>
      <c r="D64" t="s">
        <v>105</v>
      </c>
      <c r="E64" t="s">
        <v>105</v>
      </c>
      <c r="F64" s="14">
        <v>0</v>
      </c>
      <c r="G64" s="15" t="s">
        <v>18</v>
      </c>
      <c r="H64" s="16">
        <f>INDEX(X:X, MATCH(G64, W:W, 0))*F64</f>
        <v>0</v>
      </c>
      <c r="I64" s="16">
        <f>IF(COUNTIF($W$3:$W$6, G64) &gt; 0, 0, 1)</f>
        <v>0</v>
      </c>
      <c r="J64" s="16">
        <f>IF(COUNTIF(W$3:W$5, G64) &gt; 0, 0, 1)</f>
        <v>0</v>
      </c>
      <c r="K64" s="17"/>
      <c r="L64" s="16" t="s">
        <v>20</v>
      </c>
      <c r="M64" s="13"/>
      <c r="N64" s="18"/>
      <c r="O64" s="18"/>
      <c r="P64" s="18"/>
      <c r="Q64" s="15"/>
      <c r="R64" s="15"/>
      <c r="S64" s="19"/>
    </row>
    <row r="65" spans="1:19" x14ac:dyDescent="0.35">
      <c r="A65" s="20">
        <v>590</v>
      </c>
      <c r="B65" t="s">
        <v>105</v>
      </c>
      <c r="C65" t="s">
        <v>105</v>
      </c>
      <c r="D65" t="s">
        <v>105</v>
      </c>
      <c r="E65" t="s">
        <v>105</v>
      </c>
      <c r="F65" s="14">
        <v>0</v>
      </c>
      <c r="G65" s="15" t="s">
        <v>18</v>
      </c>
      <c r="H65" s="16">
        <f>INDEX(X:X, MATCH(G65, W:W, 0))*F65</f>
        <v>0</v>
      </c>
      <c r="I65" s="16">
        <f>IF(COUNTIF($W$3:$W$6, G65) &gt; 0, 0, 1)</f>
        <v>0</v>
      </c>
      <c r="J65" s="16">
        <f>IF(COUNTIF(W$3:W$5, G65) &gt; 0, 0, 1)</f>
        <v>0</v>
      </c>
      <c r="K65" s="17"/>
      <c r="L65" s="16" t="s">
        <v>20</v>
      </c>
      <c r="M65" s="13"/>
      <c r="N65" s="18"/>
      <c r="O65" s="18"/>
      <c r="P65" s="18"/>
      <c r="Q65" s="15"/>
      <c r="R65" s="15"/>
      <c r="S65" s="19"/>
    </row>
    <row r="66" spans="1:19" x14ac:dyDescent="0.35">
      <c r="A66" s="20">
        <v>591</v>
      </c>
      <c r="B66" t="s">
        <v>105</v>
      </c>
      <c r="C66" t="s">
        <v>105</v>
      </c>
      <c r="D66" t="s">
        <v>105</v>
      </c>
      <c r="E66" t="s">
        <v>105</v>
      </c>
      <c r="F66" s="14">
        <v>0</v>
      </c>
      <c r="G66" s="15" t="s">
        <v>18</v>
      </c>
      <c r="H66" s="16">
        <f>INDEX(X:X, MATCH(G66, W:W, 0))*F66</f>
        <v>0</v>
      </c>
      <c r="I66" s="16">
        <f>IF(COUNTIF($W$3:$W$6, G66) &gt; 0, 0, 1)</f>
        <v>0</v>
      </c>
      <c r="J66" s="16">
        <f>IF(COUNTIF(W$3:W$5, G66) &gt; 0, 0, 1)</f>
        <v>0</v>
      </c>
      <c r="K66" s="17"/>
      <c r="L66" s="16" t="s">
        <v>20</v>
      </c>
      <c r="M66" s="13"/>
      <c r="N66" s="18"/>
      <c r="O66" s="18"/>
      <c r="P66" s="18"/>
      <c r="Q66" s="15"/>
      <c r="R66" s="15"/>
      <c r="S66" s="19"/>
    </row>
    <row r="67" spans="1:19" x14ac:dyDescent="0.35">
      <c r="A67" s="20">
        <v>593</v>
      </c>
      <c r="B67" t="s">
        <v>105</v>
      </c>
      <c r="C67" t="s">
        <v>105</v>
      </c>
      <c r="D67" t="s">
        <v>105</v>
      </c>
      <c r="E67" t="s">
        <v>105</v>
      </c>
      <c r="F67" s="14">
        <v>0</v>
      </c>
      <c r="G67" s="15" t="s">
        <v>18</v>
      </c>
      <c r="H67" s="16">
        <f>INDEX(X:X, MATCH(G67, W:W, 0))*F67</f>
        <v>0</v>
      </c>
      <c r="I67" s="16">
        <f>IF(COUNTIF($W$3:$W$6, G67) &gt; 0, 0, 1)</f>
        <v>0</v>
      </c>
      <c r="J67" s="16">
        <f>IF(COUNTIF(W$3:W$5, G67) &gt; 0, 0, 1)</f>
        <v>0</v>
      </c>
      <c r="K67" s="17"/>
      <c r="L67" s="16" t="s">
        <v>21</v>
      </c>
      <c r="M67" s="13"/>
      <c r="N67" s="18"/>
      <c r="O67" s="18"/>
      <c r="P67" s="18"/>
      <c r="Q67" s="15"/>
      <c r="R67" s="15"/>
      <c r="S67" s="19"/>
    </row>
    <row r="68" spans="1:19" x14ac:dyDescent="0.35">
      <c r="A68" s="20">
        <v>594</v>
      </c>
      <c r="B68" t="s">
        <v>105</v>
      </c>
      <c r="C68" t="s">
        <v>105</v>
      </c>
      <c r="D68" t="s">
        <v>105</v>
      </c>
      <c r="E68" t="s">
        <v>105</v>
      </c>
      <c r="F68" s="14">
        <v>0</v>
      </c>
      <c r="G68" s="15" t="s">
        <v>18</v>
      </c>
      <c r="H68" s="16">
        <f>INDEX(X:X, MATCH(G68, W:W, 0))*F68</f>
        <v>0</v>
      </c>
      <c r="I68" s="16">
        <f>IF(COUNTIF($W$3:$W$6, G68) &gt; 0, 0, 1)</f>
        <v>0</v>
      </c>
      <c r="J68" s="16">
        <f>IF(COUNTIF(W$3:W$5, G68) &gt; 0, 0, 1)</f>
        <v>0</v>
      </c>
      <c r="K68" s="17"/>
      <c r="L68" s="16" t="s">
        <v>21</v>
      </c>
      <c r="M68" s="13"/>
      <c r="N68" s="18"/>
      <c r="O68" s="18"/>
      <c r="P68" s="18"/>
      <c r="Q68" s="15"/>
      <c r="R68" s="15"/>
      <c r="S68" s="19"/>
    </row>
    <row r="69" spans="1:19" x14ac:dyDescent="0.35">
      <c r="A69" s="20">
        <v>595</v>
      </c>
      <c r="B69" t="s">
        <v>105</v>
      </c>
      <c r="C69" t="s">
        <v>105</v>
      </c>
      <c r="D69" t="s">
        <v>105</v>
      </c>
      <c r="E69" t="s">
        <v>105</v>
      </c>
      <c r="F69" s="14">
        <v>0</v>
      </c>
      <c r="G69" s="15" t="s">
        <v>18</v>
      </c>
      <c r="H69" s="16">
        <f>INDEX(X:X, MATCH(G69, W:W, 0))*F69</f>
        <v>0</v>
      </c>
      <c r="I69" s="16">
        <f>IF(COUNTIF($W$3:$W$6, G69) &gt; 0, 0, 1)</f>
        <v>0</v>
      </c>
      <c r="J69" s="16">
        <f>IF(COUNTIF(W$3:W$5, G69) &gt; 0, 0, 1)</f>
        <v>0</v>
      </c>
      <c r="K69" s="17"/>
      <c r="L69" s="16" t="s">
        <v>20</v>
      </c>
      <c r="M69" s="13"/>
      <c r="N69" s="18"/>
      <c r="O69" s="18"/>
      <c r="P69" s="18"/>
      <c r="Q69" s="15"/>
      <c r="R69" s="15"/>
      <c r="S69" s="19"/>
    </row>
    <row r="70" spans="1:19" x14ac:dyDescent="0.35">
      <c r="A70" s="20">
        <v>600</v>
      </c>
      <c r="B70" t="s">
        <v>105</v>
      </c>
      <c r="C70" t="s">
        <v>105</v>
      </c>
      <c r="D70" t="s">
        <v>105</v>
      </c>
      <c r="E70" t="s">
        <v>105</v>
      </c>
      <c r="F70" s="14">
        <v>0</v>
      </c>
      <c r="G70" s="15" t="s">
        <v>18</v>
      </c>
      <c r="H70" s="16">
        <f>INDEX(X:X, MATCH(G70, W:W, 0))*F70</f>
        <v>0</v>
      </c>
      <c r="I70" s="16">
        <f>IF(COUNTIF($W$3:$W$6, G70) &gt; 0, 0, 1)</f>
        <v>0</v>
      </c>
      <c r="J70" s="16">
        <f>IF(COUNTIF(W$3:W$5, G70) &gt; 0, 0, 1)</f>
        <v>0</v>
      </c>
      <c r="K70" s="17"/>
      <c r="L70" s="16" t="s">
        <v>21</v>
      </c>
      <c r="M70" s="13"/>
      <c r="N70" s="18"/>
      <c r="O70" s="18"/>
      <c r="P70" s="18"/>
      <c r="Q70" s="15"/>
      <c r="R70" s="15"/>
      <c r="S70" s="19"/>
    </row>
    <row r="71" spans="1:19" x14ac:dyDescent="0.35">
      <c r="A71" s="20">
        <v>614</v>
      </c>
      <c r="B71" t="s">
        <v>105</v>
      </c>
      <c r="C71" t="s">
        <v>105</v>
      </c>
      <c r="D71" t="s">
        <v>105</v>
      </c>
      <c r="E71" t="s">
        <v>105</v>
      </c>
      <c r="F71" s="14">
        <v>0</v>
      </c>
      <c r="G71" s="15" t="s">
        <v>18</v>
      </c>
      <c r="H71" s="16">
        <f>INDEX(X:X, MATCH(G71, W:W, 0))*F71</f>
        <v>0</v>
      </c>
      <c r="I71" s="16">
        <f>IF(COUNTIF($W$3:$W$6, G71) &gt; 0, 0, 1)</f>
        <v>0</v>
      </c>
      <c r="J71" s="16">
        <f>IF(COUNTIF(W$3:W$5, G71) &gt; 0, 0, 1)</f>
        <v>0</v>
      </c>
      <c r="K71" s="17"/>
      <c r="L71" s="16" t="s">
        <v>21</v>
      </c>
      <c r="M71" s="13"/>
      <c r="N71" s="18"/>
      <c r="O71" s="18"/>
      <c r="P71" s="18"/>
      <c r="Q71" s="15"/>
      <c r="R71" s="15"/>
      <c r="S71" s="19"/>
    </row>
    <row r="72" spans="1:19" x14ac:dyDescent="0.35">
      <c r="A72" s="20">
        <v>632</v>
      </c>
      <c r="B72" t="s">
        <v>105</v>
      </c>
      <c r="C72" t="s">
        <v>105</v>
      </c>
      <c r="D72" t="s">
        <v>105</v>
      </c>
      <c r="E72" t="s">
        <v>105</v>
      </c>
      <c r="F72" s="14">
        <v>0</v>
      </c>
      <c r="G72" s="15" t="s">
        <v>18</v>
      </c>
      <c r="H72" s="16">
        <f>INDEX(X:X, MATCH(G72, W:W, 0))*F72</f>
        <v>0</v>
      </c>
      <c r="I72" s="16">
        <f>IF(COUNTIF($W$3:$W$6, G72) &gt; 0, 0, 1)</f>
        <v>0</v>
      </c>
      <c r="J72" s="16">
        <f>IF(COUNTIF(W$3:W$5, G72) &gt; 0, 0, 1)</f>
        <v>0</v>
      </c>
      <c r="K72" s="17" t="s">
        <v>40</v>
      </c>
      <c r="L72" s="16" t="s">
        <v>21</v>
      </c>
      <c r="M72" s="13"/>
      <c r="N72" s="18"/>
      <c r="O72" s="18"/>
      <c r="P72" s="18"/>
      <c r="Q72" s="15"/>
      <c r="R72" s="15"/>
      <c r="S72" s="19"/>
    </row>
    <row r="73" spans="1:19" x14ac:dyDescent="0.35">
      <c r="A73" s="20">
        <v>640</v>
      </c>
      <c r="B73" t="s">
        <v>105</v>
      </c>
      <c r="C73" t="s">
        <v>105</v>
      </c>
      <c r="D73" t="s">
        <v>105</v>
      </c>
      <c r="E73" t="s">
        <v>105</v>
      </c>
      <c r="F73" s="14">
        <v>0</v>
      </c>
      <c r="G73" s="15" t="s">
        <v>18</v>
      </c>
      <c r="H73" s="16">
        <f>INDEX(X:X, MATCH(G73, W:W, 0))*F73</f>
        <v>0</v>
      </c>
      <c r="I73" s="16">
        <f>IF(COUNTIF($W$3:$W$6, G73) &gt; 0, 0, 1)</f>
        <v>0</v>
      </c>
      <c r="J73" s="16">
        <f>IF(COUNTIF(W$3:W$5, G73) &gt; 0, 0, 1)</f>
        <v>0</v>
      </c>
      <c r="K73" s="17"/>
      <c r="L73" s="16" t="s">
        <v>21</v>
      </c>
      <c r="M73" s="13"/>
      <c r="N73" s="18"/>
      <c r="O73" s="18"/>
      <c r="P73" s="18"/>
      <c r="Q73" s="15"/>
      <c r="R73" s="15"/>
      <c r="S73" s="19"/>
    </row>
    <row r="74" spans="1:19" x14ac:dyDescent="0.35">
      <c r="A74" s="20">
        <v>671</v>
      </c>
      <c r="B74" t="s">
        <v>105</v>
      </c>
      <c r="C74" t="s">
        <v>105</v>
      </c>
      <c r="D74" t="s">
        <v>105</v>
      </c>
      <c r="E74" t="s">
        <v>105</v>
      </c>
      <c r="F74" s="14">
        <v>0</v>
      </c>
      <c r="G74" s="15" t="s">
        <v>18</v>
      </c>
      <c r="H74" s="16">
        <f>INDEX(X:X, MATCH(G74, W:W, 0))*F74</f>
        <v>0</v>
      </c>
      <c r="I74" s="16">
        <f>IF(COUNTIF($W$3:$W$6, G74) &gt; 0, 0, 1)</f>
        <v>0</v>
      </c>
      <c r="J74" s="16">
        <f>IF(COUNTIF(W$3:W$5, G74) &gt; 0, 0, 1)</f>
        <v>0</v>
      </c>
      <c r="K74" s="17"/>
      <c r="L74" s="16" t="s">
        <v>21</v>
      </c>
      <c r="M74" s="13"/>
      <c r="N74" s="18"/>
      <c r="O74" s="18"/>
      <c r="P74" s="18"/>
      <c r="Q74" s="15"/>
      <c r="R74" s="15"/>
      <c r="S74" s="19"/>
    </row>
    <row r="75" spans="1:19" x14ac:dyDescent="0.35">
      <c r="A75" s="20">
        <v>686</v>
      </c>
      <c r="B75" t="s">
        <v>105</v>
      </c>
      <c r="C75" t="s">
        <v>105</v>
      </c>
      <c r="D75" t="s">
        <v>105</v>
      </c>
      <c r="E75" t="s">
        <v>105</v>
      </c>
      <c r="F75" s="14">
        <v>0</v>
      </c>
      <c r="G75" s="15" t="s">
        <v>18</v>
      </c>
      <c r="H75" s="16">
        <f>INDEX(X:X, MATCH(G75, W:W, 0))*F75</f>
        <v>0</v>
      </c>
      <c r="I75" s="16">
        <f>IF(COUNTIF($W$3:$W$6, G75) &gt; 0, 0, 1)</f>
        <v>0</v>
      </c>
      <c r="J75" s="16">
        <f>IF(COUNTIF(W$3:W$5, G75) &gt; 0, 0, 1)</f>
        <v>0</v>
      </c>
      <c r="K75" s="17"/>
      <c r="L75" s="16" t="s">
        <v>21</v>
      </c>
      <c r="M75" s="13"/>
      <c r="N75" s="18"/>
      <c r="O75" s="18"/>
      <c r="P75" s="18"/>
      <c r="Q75" s="15"/>
      <c r="R75" s="15"/>
      <c r="S75" s="19"/>
    </row>
    <row r="76" spans="1:19" x14ac:dyDescent="0.35">
      <c r="A76" s="20">
        <v>687</v>
      </c>
      <c r="B76" t="s">
        <v>105</v>
      </c>
      <c r="C76" t="s">
        <v>105</v>
      </c>
      <c r="D76" t="s">
        <v>105</v>
      </c>
      <c r="E76" t="s">
        <v>105</v>
      </c>
      <c r="F76" s="14">
        <v>0</v>
      </c>
      <c r="G76" s="15" t="s">
        <v>18</v>
      </c>
      <c r="H76" s="16">
        <f>INDEX(X:X, MATCH(G76, W:W, 0))*F76</f>
        <v>0</v>
      </c>
      <c r="I76" s="16">
        <f>IF(COUNTIF($W$3:$W$6, G76) &gt; 0, 0, 1)</f>
        <v>0</v>
      </c>
      <c r="J76" s="16">
        <f>IF(COUNTIF(W$3:W$5, G76) &gt; 0, 0, 1)</f>
        <v>0</v>
      </c>
      <c r="K76" s="17"/>
      <c r="L76" s="16" t="s">
        <v>21</v>
      </c>
      <c r="M76" s="13"/>
      <c r="N76" s="18"/>
      <c r="O76" s="18"/>
      <c r="P76" s="18"/>
      <c r="Q76" s="15"/>
      <c r="R76" s="15"/>
      <c r="S76" s="19"/>
    </row>
    <row r="77" spans="1:19" x14ac:dyDescent="0.35">
      <c r="A77" s="20">
        <v>691</v>
      </c>
      <c r="B77" t="s">
        <v>105</v>
      </c>
      <c r="C77" t="s">
        <v>105</v>
      </c>
      <c r="D77" t="s">
        <v>105</v>
      </c>
      <c r="E77" t="s">
        <v>105</v>
      </c>
      <c r="F77" s="14">
        <v>0</v>
      </c>
      <c r="G77" s="15" t="s">
        <v>18</v>
      </c>
      <c r="H77" s="16">
        <f>INDEX(X:X, MATCH(G77, W:W, 0))*F77</f>
        <v>0</v>
      </c>
      <c r="I77" s="16">
        <f>IF(COUNTIF($W$3:$W$6, G77) &gt; 0, 0, 1)</f>
        <v>0</v>
      </c>
      <c r="J77" s="16">
        <f>IF(COUNTIF(W$3:W$5, G77) &gt; 0, 0, 1)</f>
        <v>0</v>
      </c>
      <c r="K77" s="17"/>
      <c r="L77" s="16" t="s">
        <v>21</v>
      </c>
      <c r="M77" s="13"/>
      <c r="N77" s="18"/>
      <c r="O77" s="18"/>
      <c r="P77" s="18"/>
      <c r="Q77" s="15"/>
      <c r="R77" s="15"/>
      <c r="S77" s="19"/>
    </row>
    <row r="78" spans="1:19" x14ac:dyDescent="0.35">
      <c r="A78" s="20">
        <v>692</v>
      </c>
      <c r="B78" t="s">
        <v>105</v>
      </c>
      <c r="C78" t="s">
        <v>105</v>
      </c>
      <c r="D78" t="s">
        <v>105</v>
      </c>
      <c r="E78" t="s">
        <v>105</v>
      </c>
      <c r="F78" s="14">
        <v>0</v>
      </c>
      <c r="G78" s="15" t="s">
        <v>18</v>
      </c>
      <c r="H78" s="16">
        <f>INDEX(X:X, MATCH(G78, W:W, 0))*F78</f>
        <v>0</v>
      </c>
      <c r="I78" s="16">
        <f>IF(COUNTIF($W$3:$W$6, G78) &gt; 0, 0, 1)</f>
        <v>0</v>
      </c>
      <c r="J78" s="16">
        <f>IF(COUNTIF(W$3:W$5, G78) &gt; 0, 0, 1)</f>
        <v>0</v>
      </c>
      <c r="K78" s="17"/>
      <c r="L78" s="16" t="s">
        <v>21</v>
      </c>
      <c r="M78" s="13"/>
      <c r="N78" s="18"/>
      <c r="O78" s="18"/>
      <c r="P78" s="18"/>
      <c r="Q78" s="15"/>
      <c r="R78" s="15"/>
      <c r="S78" s="19"/>
    </row>
    <row r="79" spans="1:19" x14ac:dyDescent="0.35">
      <c r="A79" s="20">
        <v>693</v>
      </c>
      <c r="B79" t="s">
        <v>105</v>
      </c>
      <c r="C79" t="s">
        <v>105</v>
      </c>
      <c r="D79" t="s">
        <v>105</v>
      </c>
      <c r="E79" t="s">
        <v>105</v>
      </c>
      <c r="F79" s="14">
        <v>0</v>
      </c>
      <c r="G79" s="15" t="s">
        <v>18</v>
      </c>
      <c r="H79" s="16">
        <f>INDEX(X:X, MATCH(G79, W:W, 0))*F79</f>
        <v>0</v>
      </c>
      <c r="I79" s="16">
        <f>IF(COUNTIF($W$3:$W$6, G79) &gt; 0, 0, 1)</f>
        <v>0</v>
      </c>
      <c r="J79" s="16">
        <f>IF(COUNTIF(W$3:W$5, G79) &gt; 0, 0, 1)</f>
        <v>0</v>
      </c>
      <c r="K79" s="17"/>
      <c r="L79" s="16" t="s">
        <v>21</v>
      </c>
      <c r="M79" s="13"/>
      <c r="N79" s="18"/>
      <c r="O79" s="18"/>
      <c r="P79" s="18"/>
      <c r="Q79" s="15"/>
      <c r="R79" s="15"/>
      <c r="S79" s="19"/>
    </row>
    <row r="80" spans="1:19" x14ac:dyDescent="0.35">
      <c r="A80" s="20">
        <v>694</v>
      </c>
      <c r="B80" t="s">
        <v>105</v>
      </c>
      <c r="C80" t="s">
        <v>105</v>
      </c>
      <c r="D80" t="s">
        <v>105</v>
      </c>
      <c r="E80" t="s">
        <v>105</v>
      </c>
      <c r="F80" s="14">
        <v>0</v>
      </c>
      <c r="G80" s="15" t="s">
        <v>18</v>
      </c>
      <c r="H80" s="16">
        <f>INDEX(X:X, MATCH(G80, W:W, 0))*F80</f>
        <v>0</v>
      </c>
      <c r="I80" s="16">
        <f>IF(COUNTIF($W$3:$W$6, G80) &gt; 0, 0, 1)</f>
        <v>0</v>
      </c>
      <c r="J80" s="16">
        <f>IF(COUNTIF(W$3:W$5, G80) &gt; 0, 0, 1)</f>
        <v>0</v>
      </c>
      <c r="K80" s="17"/>
      <c r="L80" s="16" t="s">
        <v>21</v>
      </c>
      <c r="M80" s="13"/>
      <c r="N80" s="18"/>
      <c r="O80" s="18"/>
      <c r="P80" s="18"/>
      <c r="Q80" s="15"/>
      <c r="R80" s="15"/>
      <c r="S80" s="19"/>
    </row>
    <row r="81" spans="1:19" x14ac:dyDescent="0.35">
      <c r="A81" s="20">
        <v>706</v>
      </c>
      <c r="B81" t="s">
        <v>105</v>
      </c>
      <c r="C81" t="s">
        <v>105</v>
      </c>
      <c r="D81" t="s">
        <v>105</v>
      </c>
      <c r="E81" t="s">
        <v>105</v>
      </c>
      <c r="F81" s="14">
        <v>0</v>
      </c>
      <c r="G81" s="15" t="s">
        <v>18</v>
      </c>
      <c r="H81" s="16">
        <f>INDEX(X:X, MATCH(G81, W:W, 0))*F81</f>
        <v>0</v>
      </c>
      <c r="I81" s="16">
        <f>IF(COUNTIF($W$3:$W$6, G81) &gt; 0, 0, 1)</f>
        <v>0</v>
      </c>
      <c r="J81" s="16">
        <f>IF(COUNTIF(W$3:W$5, G81) &gt; 0, 0, 1)</f>
        <v>0</v>
      </c>
      <c r="K81" s="17" t="s">
        <v>82</v>
      </c>
      <c r="L81" s="16" t="s">
        <v>21</v>
      </c>
      <c r="M81" s="13"/>
      <c r="N81" s="18"/>
      <c r="O81" s="18"/>
      <c r="P81" s="18"/>
      <c r="Q81" s="15"/>
      <c r="R81" s="15"/>
      <c r="S81" s="19"/>
    </row>
    <row r="82" spans="1:19" x14ac:dyDescent="0.35">
      <c r="A82" s="20">
        <v>708</v>
      </c>
      <c r="B82" t="s">
        <v>105</v>
      </c>
      <c r="C82" t="s">
        <v>105</v>
      </c>
      <c r="D82" t="s">
        <v>105</v>
      </c>
      <c r="E82" t="s">
        <v>105</v>
      </c>
      <c r="F82" s="14">
        <v>0</v>
      </c>
      <c r="G82" s="15" t="s">
        <v>18</v>
      </c>
      <c r="H82" s="16">
        <f>INDEX(X:X, MATCH(G82, W:W, 0))*F82</f>
        <v>0</v>
      </c>
      <c r="I82" s="16">
        <f>IF(COUNTIF($W$3:$W$6, G82) &gt; 0, 0, 1)</f>
        <v>0</v>
      </c>
      <c r="J82" s="16">
        <f>IF(COUNTIF(W$3:W$5, G82) &gt; 0, 0, 1)</f>
        <v>0</v>
      </c>
      <c r="K82" s="17"/>
      <c r="L82" s="16" t="s">
        <v>21</v>
      </c>
      <c r="M82" s="13"/>
      <c r="N82" s="18"/>
      <c r="O82" s="18"/>
      <c r="P82" s="18"/>
      <c r="Q82" s="15"/>
      <c r="R82" s="15"/>
      <c r="S82" s="19"/>
    </row>
    <row r="83" spans="1:19" x14ac:dyDescent="0.35">
      <c r="A83" s="20">
        <v>709</v>
      </c>
      <c r="B83" t="s">
        <v>105</v>
      </c>
      <c r="C83" t="s">
        <v>105</v>
      </c>
      <c r="D83" t="s">
        <v>105</v>
      </c>
      <c r="E83" t="s">
        <v>105</v>
      </c>
      <c r="F83" s="14">
        <v>0</v>
      </c>
      <c r="G83" s="15" t="s">
        <v>18</v>
      </c>
      <c r="H83" s="16">
        <f>INDEX(X:X, MATCH(G83, W:W, 0))*F83</f>
        <v>0</v>
      </c>
      <c r="I83" s="16">
        <f>IF(COUNTIF($W$3:$W$6, G83) &gt; 0, 0, 1)</f>
        <v>0</v>
      </c>
      <c r="J83" s="16">
        <f>IF(COUNTIF(W$3:W$5, G83) &gt; 0, 0, 1)</f>
        <v>0</v>
      </c>
      <c r="K83" s="17"/>
      <c r="L83" s="16" t="s">
        <v>20</v>
      </c>
      <c r="M83" s="13"/>
      <c r="N83" s="18"/>
      <c r="O83" s="18"/>
      <c r="P83" s="18"/>
      <c r="Q83" s="15"/>
      <c r="R83" s="15"/>
      <c r="S83" s="19"/>
    </row>
    <row r="84" spans="1:19" x14ac:dyDescent="0.35">
      <c r="A84" s="20">
        <v>710</v>
      </c>
      <c r="B84" t="s">
        <v>105</v>
      </c>
      <c r="C84" t="s">
        <v>105</v>
      </c>
      <c r="D84" t="s">
        <v>105</v>
      </c>
      <c r="E84" t="s">
        <v>105</v>
      </c>
      <c r="F84" s="14">
        <v>0</v>
      </c>
      <c r="G84" s="15" t="s">
        <v>18</v>
      </c>
      <c r="H84" s="16">
        <f>INDEX(X:X, MATCH(G84, W:W, 0))*F84</f>
        <v>0</v>
      </c>
      <c r="I84" s="16">
        <f>IF(COUNTIF($W$3:$W$6, G84) &gt; 0, 0, 1)</f>
        <v>0</v>
      </c>
      <c r="J84" s="16">
        <f>IF(COUNTIF(W$3:W$5, G84) &gt; 0, 0, 1)</f>
        <v>0</v>
      </c>
      <c r="K84" s="17"/>
      <c r="L84" s="16" t="s">
        <v>20</v>
      </c>
      <c r="M84" s="13"/>
      <c r="N84" s="18"/>
      <c r="O84" s="18"/>
      <c r="P84" s="18"/>
      <c r="Q84" s="15"/>
      <c r="R84" s="15"/>
      <c r="S84" s="19"/>
    </row>
    <row r="85" spans="1:19" x14ac:dyDescent="0.35">
      <c r="A85" s="20">
        <v>712</v>
      </c>
      <c r="B85" t="s">
        <v>105</v>
      </c>
      <c r="C85" t="s">
        <v>105</v>
      </c>
      <c r="D85" t="s">
        <v>105</v>
      </c>
      <c r="E85" t="s">
        <v>105</v>
      </c>
      <c r="F85" s="14">
        <v>0</v>
      </c>
      <c r="G85" s="15" t="s">
        <v>18</v>
      </c>
      <c r="H85" s="16">
        <f>INDEX(X:X, MATCH(G85, W:W, 0))*F85</f>
        <v>0</v>
      </c>
      <c r="I85" s="16">
        <f>IF(COUNTIF($W$3:$W$6, G85) &gt; 0, 0, 1)</f>
        <v>0</v>
      </c>
      <c r="J85" s="16">
        <f>IF(COUNTIF(W$3:W$5, G85) &gt; 0, 0, 1)</f>
        <v>0</v>
      </c>
      <c r="K85" s="17"/>
      <c r="L85" s="16" t="s">
        <v>20</v>
      </c>
      <c r="M85" s="13"/>
      <c r="N85" s="18"/>
      <c r="O85" s="18"/>
      <c r="P85" s="18"/>
      <c r="Q85" s="15"/>
      <c r="R85" s="15"/>
      <c r="S85" s="19"/>
    </row>
    <row r="86" spans="1:19" x14ac:dyDescent="0.35">
      <c r="A86" s="20">
        <v>714</v>
      </c>
      <c r="B86" t="s">
        <v>105</v>
      </c>
      <c r="C86" t="s">
        <v>105</v>
      </c>
      <c r="D86" t="s">
        <v>105</v>
      </c>
      <c r="E86" t="s">
        <v>105</v>
      </c>
      <c r="F86" s="14">
        <v>0</v>
      </c>
      <c r="G86" s="15" t="s">
        <v>18</v>
      </c>
      <c r="H86" s="16">
        <f>INDEX(X:X, MATCH(G86, W:W, 0))*F86</f>
        <v>0</v>
      </c>
      <c r="I86" s="16">
        <f>IF(COUNTIF($W$3:$W$6, G86) &gt; 0, 0, 1)</f>
        <v>0</v>
      </c>
      <c r="J86" s="16">
        <f>IF(COUNTIF(W$3:W$5, G86) &gt; 0, 0, 1)</f>
        <v>0</v>
      </c>
      <c r="K86" s="17"/>
      <c r="L86" s="16" t="s">
        <v>20</v>
      </c>
      <c r="M86" s="13"/>
      <c r="N86" s="18"/>
      <c r="O86" s="18"/>
      <c r="P86" s="18"/>
      <c r="Q86" s="15"/>
      <c r="R86" s="15"/>
      <c r="S86" s="19"/>
    </row>
    <row r="87" spans="1:19" x14ac:dyDescent="0.35">
      <c r="A87" s="20">
        <v>715</v>
      </c>
      <c r="B87" t="s">
        <v>105</v>
      </c>
      <c r="C87" t="s">
        <v>105</v>
      </c>
      <c r="D87" t="s">
        <v>105</v>
      </c>
      <c r="E87" t="s">
        <v>105</v>
      </c>
      <c r="F87" s="14">
        <v>0</v>
      </c>
      <c r="G87" s="15" t="s">
        <v>18</v>
      </c>
      <c r="H87" s="16">
        <f>INDEX(X:X, MATCH(G87, W:W, 0))*F87</f>
        <v>0</v>
      </c>
      <c r="I87" s="16">
        <f>IF(COUNTIF($W$3:$W$6, G87) &gt; 0, 0, 1)</f>
        <v>0</v>
      </c>
      <c r="J87" s="16">
        <f>IF(COUNTIF(W$3:W$5, G87) &gt; 0, 0, 1)</f>
        <v>0</v>
      </c>
      <c r="K87" s="17"/>
      <c r="L87" s="16" t="s">
        <v>21</v>
      </c>
      <c r="M87" s="13"/>
      <c r="N87" s="18"/>
      <c r="O87" s="18"/>
      <c r="P87" s="18"/>
      <c r="Q87" s="15"/>
      <c r="R87" s="15"/>
      <c r="S87" s="19"/>
    </row>
    <row r="88" spans="1:19" x14ac:dyDescent="0.35">
      <c r="A88" s="20">
        <v>726</v>
      </c>
      <c r="B88" t="s">
        <v>105</v>
      </c>
      <c r="C88" t="s">
        <v>105</v>
      </c>
      <c r="D88" t="s">
        <v>105</v>
      </c>
      <c r="E88" t="s">
        <v>105</v>
      </c>
      <c r="F88" s="14">
        <v>0</v>
      </c>
      <c r="G88" s="15" t="s">
        <v>18</v>
      </c>
      <c r="H88" s="16">
        <f>INDEX(X:X, MATCH(G88, W:W, 0))*F88</f>
        <v>0</v>
      </c>
      <c r="I88" s="16">
        <f>IF(COUNTIF($W$3:$W$6, G88) &gt; 0, 0, 1)</f>
        <v>0</v>
      </c>
      <c r="J88" s="16">
        <f>IF(COUNTIF(W$3:W$5, G88) &gt; 0, 0, 1)</f>
        <v>0</v>
      </c>
      <c r="K88" s="17"/>
      <c r="L88" s="16" t="s">
        <v>20</v>
      </c>
      <c r="M88" s="13"/>
      <c r="N88" s="18"/>
      <c r="O88" s="18"/>
      <c r="P88" s="18"/>
      <c r="Q88" s="15"/>
      <c r="R88" s="15"/>
      <c r="S88" s="19"/>
    </row>
    <row r="89" spans="1:19" x14ac:dyDescent="0.35">
      <c r="A89" s="20">
        <v>727</v>
      </c>
      <c r="B89" t="s">
        <v>105</v>
      </c>
      <c r="C89" t="s">
        <v>105</v>
      </c>
      <c r="D89" t="s">
        <v>105</v>
      </c>
      <c r="E89" t="s">
        <v>105</v>
      </c>
      <c r="F89" s="14">
        <v>0</v>
      </c>
      <c r="G89" s="15" t="s">
        <v>18</v>
      </c>
      <c r="H89" s="16">
        <f>INDEX(X:X, MATCH(G89, W:W, 0))*F89</f>
        <v>0</v>
      </c>
      <c r="I89" s="16">
        <f>IF(COUNTIF($W$3:$W$6, G89) &gt; 0, 0, 1)</f>
        <v>0</v>
      </c>
      <c r="J89" s="16">
        <f>IF(COUNTIF(W$3:W$5, G89) &gt; 0, 0, 1)</f>
        <v>0</v>
      </c>
      <c r="K89" s="17"/>
      <c r="L89" s="16" t="s">
        <v>21</v>
      </c>
      <c r="M89" s="13"/>
      <c r="N89" s="18"/>
      <c r="O89" s="18"/>
      <c r="P89" s="18"/>
      <c r="Q89" s="15"/>
      <c r="R89" s="15"/>
      <c r="S89" s="19"/>
    </row>
    <row r="90" spans="1:19" x14ac:dyDescent="0.35">
      <c r="A90" s="20">
        <v>730</v>
      </c>
      <c r="B90" t="s">
        <v>105</v>
      </c>
      <c r="C90" t="s">
        <v>105</v>
      </c>
      <c r="D90" t="s">
        <v>105</v>
      </c>
      <c r="E90" t="s">
        <v>105</v>
      </c>
      <c r="F90" s="14">
        <v>0</v>
      </c>
      <c r="G90" s="15" t="s">
        <v>18</v>
      </c>
      <c r="H90" s="16">
        <f>INDEX(X:X, MATCH(G90, W:W, 0))*F90</f>
        <v>0</v>
      </c>
      <c r="I90" s="16">
        <f>IF(COUNTIF($W$3:$W$6, G90) &gt; 0, 0, 1)</f>
        <v>0</v>
      </c>
      <c r="J90" s="16">
        <f>IF(COUNTIF(W$3:W$5, G90) &gt; 0, 0, 1)</f>
        <v>0</v>
      </c>
      <c r="K90" s="17"/>
      <c r="L90" s="16" t="s">
        <v>21</v>
      </c>
      <c r="M90" s="13"/>
      <c r="N90" s="18"/>
      <c r="O90" s="18"/>
      <c r="P90" s="18"/>
      <c r="Q90" s="15"/>
      <c r="R90" s="15"/>
      <c r="S90" s="19"/>
    </row>
    <row r="91" spans="1:19" x14ac:dyDescent="0.35">
      <c r="A91" s="20">
        <v>731</v>
      </c>
      <c r="B91" t="s">
        <v>105</v>
      </c>
      <c r="C91" t="s">
        <v>105</v>
      </c>
      <c r="D91" t="s">
        <v>105</v>
      </c>
      <c r="E91" t="s">
        <v>105</v>
      </c>
      <c r="F91" s="14">
        <v>0</v>
      </c>
      <c r="G91" s="15" t="s">
        <v>18</v>
      </c>
      <c r="H91" s="16">
        <f>INDEX(X:X, MATCH(G91, W:W, 0))*F91</f>
        <v>0</v>
      </c>
      <c r="I91" s="16">
        <f>IF(COUNTIF($W$3:$W$6, G91) &gt; 0, 0, 1)</f>
        <v>0</v>
      </c>
      <c r="J91" s="16">
        <f>IF(COUNTIF(W$3:W$5, G91) &gt; 0, 0, 1)</f>
        <v>0</v>
      </c>
      <c r="K91" s="17"/>
      <c r="L91" s="16" t="s">
        <v>21</v>
      </c>
      <c r="M91" s="13"/>
      <c r="N91" s="18"/>
      <c r="O91" s="18"/>
      <c r="P91" s="18"/>
      <c r="Q91" s="15"/>
      <c r="R91" s="15"/>
      <c r="S91" s="19"/>
    </row>
    <row r="92" spans="1:19" x14ac:dyDescent="0.35">
      <c r="A92" s="20">
        <v>733</v>
      </c>
      <c r="B92" t="s">
        <v>105</v>
      </c>
      <c r="C92" t="s">
        <v>105</v>
      </c>
      <c r="D92" t="s">
        <v>105</v>
      </c>
      <c r="E92" t="s">
        <v>105</v>
      </c>
      <c r="F92" s="48">
        <v>0</v>
      </c>
      <c r="G92" s="15" t="s">
        <v>18</v>
      </c>
      <c r="H92" s="16">
        <f>INDEX(X:X, MATCH(G92, W:W, 0))*F92</f>
        <v>0</v>
      </c>
      <c r="I92" s="16">
        <f>IF(COUNTIF($W$3:$W$6, G92) &gt; 0, 0, 1)</f>
        <v>0</v>
      </c>
      <c r="J92" s="16">
        <f>IF(COUNTIF(W$3:W$5, G92) &gt; 0, 0, 1)</f>
        <v>0</v>
      </c>
      <c r="K92" s="17"/>
      <c r="L92" s="48" t="s">
        <v>21</v>
      </c>
      <c r="M92" s="13"/>
      <c r="N92" s="18"/>
      <c r="O92" s="18"/>
      <c r="P92" s="18"/>
      <c r="Q92" s="15"/>
      <c r="R92" s="15"/>
      <c r="S92" s="19"/>
    </row>
    <row r="93" spans="1:19" x14ac:dyDescent="0.35">
      <c r="A93" s="20">
        <v>736</v>
      </c>
      <c r="B93" t="s">
        <v>105</v>
      </c>
      <c r="C93" t="s">
        <v>105</v>
      </c>
      <c r="D93" t="s">
        <v>105</v>
      </c>
      <c r="E93" t="s">
        <v>105</v>
      </c>
      <c r="F93" s="14">
        <v>0</v>
      </c>
      <c r="G93" s="15" t="s">
        <v>18</v>
      </c>
      <c r="H93" s="16">
        <f>INDEX(X:X, MATCH(G93, W:W, 0))*F93</f>
        <v>0</v>
      </c>
      <c r="I93" s="16">
        <f>IF(COUNTIF($W$3:$W$6, G93) &gt; 0, 0, 1)</f>
        <v>0</v>
      </c>
      <c r="J93" s="16">
        <f>IF(COUNTIF(W$3:W$5, G93) &gt; 0, 0, 1)</f>
        <v>0</v>
      </c>
      <c r="K93" s="17"/>
      <c r="L93" s="16" t="s">
        <v>21</v>
      </c>
      <c r="M93" s="13"/>
      <c r="N93" s="18"/>
      <c r="O93" s="18"/>
      <c r="P93" s="18"/>
      <c r="Q93" s="15"/>
      <c r="R93" s="15"/>
      <c r="S93" s="19"/>
    </row>
    <row r="94" spans="1:19" x14ac:dyDescent="0.35">
      <c r="A94" s="20">
        <v>738</v>
      </c>
      <c r="B94" t="s">
        <v>105</v>
      </c>
      <c r="C94" t="s">
        <v>105</v>
      </c>
      <c r="D94" t="s">
        <v>105</v>
      </c>
      <c r="E94" t="s">
        <v>105</v>
      </c>
      <c r="F94" s="48">
        <v>0</v>
      </c>
      <c r="G94" s="15" t="s">
        <v>18</v>
      </c>
      <c r="H94" s="16">
        <f>INDEX(X:X, MATCH(G94, W:W, 0))*F94</f>
        <v>0</v>
      </c>
      <c r="I94" s="16">
        <f>IF(COUNTIF($W$3:$W$6, G94) &gt; 0, 0, 1)</f>
        <v>0</v>
      </c>
      <c r="J94" s="16">
        <f>IF(COUNTIF(W$3:W$5, G94) &gt; 0, 0, 1)</f>
        <v>0</v>
      </c>
      <c r="K94" s="17"/>
      <c r="L94" s="16" t="s">
        <v>21</v>
      </c>
      <c r="M94" s="13"/>
      <c r="N94" s="18"/>
      <c r="O94" s="18"/>
      <c r="P94" s="18"/>
      <c r="Q94" s="15"/>
      <c r="R94" s="15"/>
      <c r="S94" s="19"/>
    </row>
    <row r="95" spans="1:19" x14ac:dyDescent="0.35">
      <c r="A95" s="20">
        <v>745</v>
      </c>
      <c r="B95" t="s">
        <v>105</v>
      </c>
      <c r="C95" t="s">
        <v>105</v>
      </c>
      <c r="D95" t="s">
        <v>105</v>
      </c>
      <c r="E95" t="s">
        <v>105</v>
      </c>
      <c r="F95" s="14">
        <v>0</v>
      </c>
      <c r="G95" s="15" t="s">
        <v>18</v>
      </c>
      <c r="H95" s="16">
        <f>INDEX(X:X, MATCH(G95, W:W, 0))*F95</f>
        <v>0</v>
      </c>
      <c r="I95" s="16">
        <f>IF(COUNTIF($W$3:$W$6, G95) &gt; 0, 0, 1)</f>
        <v>0</v>
      </c>
      <c r="J95" s="16">
        <f>IF(COUNTIF(W$3:W$5, G95) &gt; 0, 0, 1)</f>
        <v>0</v>
      </c>
      <c r="K95" s="17"/>
      <c r="L95" s="16" t="s">
        <v>21</v>
      </c>
      <c r="M95" s="13"/>
      <c r="N95" s="18"/>
      <c r="O95" s="18"/>
      <c r="P95" s="18"/>
      <c r="Q95" s="15"/>
      <c r="R95" s="15"/>
      <c r="S95" s="19"/>
    </row>
    <row r="96" spans="1:19" x14ac:dyDescent="0.35">
      <c r="A96" s="20">
        <v>86</v>
      </c>
      <c r="B96" t="s">
        <v>105</v>
      </c>
      <c r="C96" t="s">
        <v>105</v>
      </c>
      <c r="D96" t="s">
        <v>105</v>
      </c>
      <c r="E96" t="s">
        <v>105</v>
      </c>
      <c r="F96" s="14">
        <v>0</v>
      </c>
      <c r="G96" s="15" t="s">
        <v>18</v>
      </c>
      <c r="H96" s="16">
        <f>INDEX(X:X, MATCH(G96, W:W, 0))*F96</f>
        <v>0</v>
      </c>
      <c r="I96" s="16">
        <f>IF(COUNTIF($W$3:$W$6, G96) &gt; 0, 0, 1)</f>
        <v>0</v>
      </c>
      <c r="J96" s="16">
        <f>IF(COUNTIF(W$3:W$5, G96) &gt; 0, 0, 1)</f>
        <v>0</v>
      </c>
      <c r="K96" s="17"/>
      <c r="L96" s="16" t="s">
        <v>21</v>
      </c>
      <c r="M96" s="13"/>
      <c r="N96" s="18"/>
      <c r="O96" s="18"/>
      <c r="P96" s="18"/>
      <c r="Q96" s="15"/>
      <c r="R96" s="15"/>
      <c r="S96" s="19"/>
    </row>
    <row r="97" spans="1:19" x14ac:dyDescent="0.35">
      <c r="A97" s="20">
        <v>88</v>
      </c>
      <c r="B97" t="s">
        <v>105</v>
      </c>
      <c r="C97" t="s">
        <v>105</v>
      </c>
      <c r="D97" t="s">
        <v>105</v>
      </c>
      <c r="E97" t="s">
        <v>105</v>
      </c>
      <c r="F97" s="15">
        <v>0</v>
      </c>
      <c r="G97" s="15" t="s">
        <v>18</v>
      </c>
      <c r="H97" s="16">
        <f>INDEX(X:X, MATCH(G97, W:W, 0))*F97</f>
        <v>0</v>
      </c>
      <c r="I97" s="16">
        <f>IF(COUNTIF($W$3:$W$6, G97) &gt; 0, 0, 1)</f>
        <v>0</v>
      </c>
      <c r="J97" s="16">
        <f>IF(COUNTIF(W$3:W$5, G97) &gt; 0, 0, 1)</f>
        <v>0</v>
      </c>
      <c r="K97" s="17"/>
      <c r="L97" s="16" t="s">
        <v>21</v>
      </c>
      <c r="M97" s="13"/>
      <c r="N97" s="18"/>
      <c r="O97" s="18"/>
      <c r="P97" s="18"/>
      <c r="Q97" s="15"/>
      <c r="R97" s="15"/>
      <c r="S97" s="19"/>
    </row>
    <row r="98" spans="1:19" x14ac:dyDescent="0.35">
      <c r="A98" s="20">
        <v>431</v>
      </c>
      <c r="B98" s="22" t="s">
        <v>106</v>
      </c>
      <c r="C98" s="22" t="s">
        <v>106</v>
      </c>
      <c r="D98" s="22" t="s">
        <v>106</v>
      </c>
      <c r="E98" t="s">
        <v>105</v>
      </c>
      <c r="F98" s="14">
        <v>0</v>
      </c>
      <c r="G98" s="15" t="s">
        <v>18</v>
      </c>
      <c r="H98" s="16">
        <f>INDEX(X:X, MATCH(G98, W:W, 0))*F98</f>
        <v>0</v>
      </c>
      <c r="I98" s="16">
        <f>IF(COUNTIF($W$3:$W$6, G98) &gt; 0, 0, 1)</f>
        <v>0</v>
      </c>
      <c r="J98" s="16">
        <f>IF(COUNTIF(W$3:W$5, G98) &gt; 0, 0, 1)</f>
        <v>0</v>
      </c>
      <c r="K98" s="17"/>
      <c r="L98" s="16" t="s">
        <v>21</v>
      </c>
      <c r="M98" s="13"/>
      <c r="N98" s="18"/>
      <c r="O98" s="18"/>
      <c r="P98" s="18"/>
      <c r="Q98" s="15"/>
      <c r="R98" s="15"/>
      <c r="S98" s="19"/>
    </row>
    <row r="99" spans="1:19" x14ac:dyDescent="0.35">
      <c r="A99" s="20">
        <v>66</v>
      </c>
      <c r="B99" t="s">
        <v>105</v>
      </c>
      <c r="C99" t="s">
        <v>105</v>
      </c>
      <c r="D99" t="s">
        <v>105</v>
      </c>
      <c r="E99" t="s">
        <v>105</v>
      </c>
      <c r="F99" s="14">
        <v>0</v>
      </c>
      <c r="G99" s="15" t="s">
        <v>18</v>
      </c>
      <c r="H99" s="16">
        <f>INDEX(X:X, MATCH(G99, W:W, 0))*F99</f>
        <v>0</v>
      </c>
      <c r="I99" s="16">
        <f>IF(COUNTIF($W$3:$W$6, G99) &gt; 0, 0, 1)</f>
        <v>0</v>
      </c>
      <c r="J99" s="16">
        <f>IF(COUNTIF(W$3:W$5, G99) &gt; 0, 0, 1)</f>
        <v>0</v>
      </c>
      <c r="K99" s="17"/>
      <c r="L99" s="16" t="s">
        <v>21</v>
      </c>
      <c r="M99" s="13"/>
      <c r="N99" s="18"/>
      <c r="O99" s="18"/>
      <c r="P99" s="18"/>
      <c r="Q99" s="15"/>
      <c r="R99" s="15"/>
      <c r="S99" s="19"/>
    </row>
    <row r="100" spans="1:19" x14ac:dyDescent="0.35">
      <c r="A100" s="20">
        <v>67</v>
      </c>
      <c r="B100" t="s">
        <v>105</v>
      </c>
      <c r="C100" t="s">
        <v>105</v>
      </c>
      <c r="D100" t="s">
        <v>105</v>
      </c>
      <c r="E100" t="s">
        <v>105</v>
      </c>
      <c r="F100" s="14">
        <v>0</v>
      </c>
      <c r="G100" s="15" t="s">
        <v>18</v>
      </c>
      <c r="H100" s="16">
        <f>INDEX(X:X, MATCH(G100, W:W, 0))*F100</f>
        <v>0</v>
      </c>
      <c r="I100" s="16">
        <f>IF(COUNTIF($W$3:$W$6, G100) &gt; 0, 0, 1)</f>
        <v>0</v>
      </c>
      <c r="J100" s="16">
        <f>IF(COUNTIF(W$3:W$5, G100) &gt; 0, 0, 1)</f>
        <v>0</v>
      </c>
      <c r="K100" s="17"/>
      <c r="L100" s="16" t="s">
        <v>21</v>
      </c>
      <c r="M100" s="13"/>
      <c r="N100" s="18"/>
      <c r="O100" s="18"/>
      <c r="P100" s="18"/>
      <c r="Q100" s="15"/>
      <c r="R100" s="15"/>
      <c r="S100" s="19"/>
    </row>
    <row r="101" spans="1:19" x14ac:dyDescent="0.35">
      <c r="A101" s="20">
        <v>73</v>
      </c>
      <c r="B101" t="s">
        <v>105</v>
      </c>
      <c r="C101" t="s">
        <v>105</v>
      </c>
      <c r="D101" t="s">
        <v>105</v>
      </c>
      <c r="E101" t="s">
        <v>105</v>
      </c>
      <c r="F101" s="14">
        <v>0</v>
      </c>
      <c r="G101" s="15" t="s">
        <v>18</v>
      </c>
      <c r="H101" s="16">
        <f>INDEX(X:X, MATCH(G101, W:W, 0))*F101</f>
        <v>0</v>
      </c>
      <c r="I101" s="16">
        <f>IF(COUNTIF($W$3:$W$6, G101) &gt; 0, 0, 1)</f>
        <v>0</v>
      </c>
      <c r="J101" s="16">
        <f>IF(COUNTIF(W$3:W$5, G101) &gt; 0, 0, 1)</f>
        <v>0</v>
      </c>
      <c r="K101" s="17"/>
      <c r="L101" s="16" t="s">
        <v>20</v>
      </c>
      <c r="M101" s="13"/>
      <c r="N101" s="18"/>
      <c r="O101" s="18"/>
      <c r="P101" s="18"/>
      <c r="Q101" s="15"/>
      <c r="R101" s="15"/>
      <c r="S101" s="19"/>
    </row>
    <row r="102" spans="1:19" x14ac:dyDescent="0.35">
      <c r="A102" s="20">
        <v>658</v>
      </c>
      <c r="B102" s="22" t="s">
        <v>106</v>
      </c>
      <c r="C102" t="s">
        <v>105</v>
      </c>
      <c r="D102" t="s">
        <v>105</v>
      </c>
      <c r="E102" t="s">
        <v>63</v>
      </c>
      <c r="F102" s="14">
        <v>15</v>
      </c>
      <c r="G102" s="15" t="s">
        <v>35</v>
      </c>
      <c r="H102" s="16">
        <f>INDEX(X:X, MATCH(G102, W:W, 0))*F102</f>
        <v>15</v>
      </c>
      <c r="I102" s="16">
        <f>IF(COUNTIF($W$3:$W$6, G102) &gt; 0, 0, 1)</f>
        <v>1</v>
      </c>
      <c r="J102" s="16">
        <f>IF(COUNTIF(W$3:W$5, G102) &gt; 0, 0, 1)</f>
        <v>1</v>
      </c>
      <c r="K102" s="17" t="s">
        <v>102</v>
      </c>
      <c r="L102" s="16" t="s">
        <v>21</v>
      </c>
      <c r="M102" s="13"/>
      <c r="N102" s="18"/>
      <c r="O102" s="18"/>
      <c r="P102" s="18"/>
      <c r="Q102" s="15"/>
      <c r="R102" s="15"/>
      <c r="S102" s="19"/>
    </row>
    <row r="103" spans="1:19" x14ac:dyDescent="0.35">
      <c r="A103" s="20">
        <v>74</v>
      </c>
      <c r="B103" t="s">
        <v>105</v>
      </c>
      <c r="C103" t="s">
        <v>105</v>
      </c>
      <c r="D103" t="s">
        <v>105</v>
      </c>
      <c r="E103" t="s">
        <v>72</v>
      </c>
      <c r="F103" s="14">
        <v>5</v>
      </c>
      <c r="G103" s="15" t="s">
        <v>35</v>
      </c>
      <c r="H103" s="16">
        <f>INDEX(X:X, MATCH(G103, W:W, 0))*F103</f>
        <v>5</v>
      </c>
      <c r="I103" s="16">
        <f>IF(COUNTIF($W$3:$W$6, G103) &gt; 0, 0, 1)</f>
        <v>1</v>
      </c>
      <c r="J103" s="16">
        <f>IF(COUNTIF(W$3:W$5, G103) &gt; 0, 0, 1)</f>
        <v>1</v>
      </c>
      <c r="K103" s="17" t="s">
        <v>73</v>
      </c>
      <c r="L103" s="16" t="s">
        <v>21</v>
      </c>
      <c r="M103" s="13"/>
      <c r="N103" s="18"/>
      <c r="O103" s="18"/>
      <c r="P103" s="18"/>
      <c r="Q103" s="15"/>
      <c r="R103" s="15"/>
      <c r="S103" s="19"/>
    </row>
    <row r="104" spans="1:19" x14ac:dyDescent="0.35">
      <c r="A104" s="20">
        <v>140</v>
      </c>
      <c r="B104" t="s">
        <v>105</v>
      </c>
      <c r="C104" t="s">
        <v>105</v>
      </c>
      <c r="D104" t="s">
        <v>105</v>
      </c>
      <c r="E104" t="s">
        <v>80</v>
      </c>
      <c r="F104" s="14">
        <v>20</v>
      </c>
      <c r="G104" s="15" t="s">
        <v>35</v>
      </c>
      <c r="H104" s="16">
        <f>INDEX(X:X, MATCH(G104, W:W, 0))*F104</f>
        <v>20</v>
      </c>
      <c r="I104" s="16">
        <f>IF(COUNTIF($W$3:$W$6, G104) &gt; 0, 0, 1)</f>
        <v>1</v>
      </c>
      <c r="J104" s="16">
        <f>IF(COUNTIF(W$3:W$5, G104) &gt; 0, 0, 1)</f>
        <v>1</v>
      </c>
      <c r="K104" s="17" t="s">
        <v>38</v>
      </c>
      <c r="L104" s="16" t="s">
        <v>20</v>
      </c>
      <c r="M104" s="13"/>
      <c r="N104" s="18"/>
      <c r="O104" s="18"/>
      <c r="P104" s="18"/>
      <c r="Q104" s="15"/>
      <c r="R104" s="15"/>
      <c r="S104" s="19"/>
    </row>
    <row r="105" spans="1:19" x14ac:dyDescent="0.35">
      <c r="A105" s="20">
        <v>340</v>
      </c>
      <c r="B105" t="s">
        <v>105</v>
      </c>
      <c r="C105" s="22" t="s">
        <v>106</v>
      </c>
      <c r="D105" t="s">
        <v>105</v>
      </c>
      <c r="E105" t="s">
        <v>80</v>
      </c>
      <c r="F105" s="14">
        <v>10</v>
      </c>
      <c r="G105" s="15" t="s">
        <v>35</v>
      </c>
      <c r="H105" s="16">
        <f>INDEX(X:X, MATCH(G105, W:W, 0))*F105</f>
        <v>10</v>
      </c>
      <c r="I105" s="16">
        <f>IF(COUNTIF($W$3:$W$6, G105) &gt; 0, 0, 1)</f>
        <v>1</v>
      </c>
      <c r="J105" s="16">
        <f>IF(COUNTIF(W$3:W$5, G105) &gt; 0, 0, 1)</f>
        <v>1</v>
      </c>
      <c r="K105" s="17" t="s">
        <v>55</v>
      </c>
      <c r="L105" s="16" t="s">
        <v>21</v>
      </c>
      <c r="M105" s="13"/>
      <c r="N105" s="18"/>
      <c r="O105" s="18"/>
      <c r="P105" s="18"/>
      <c r="Q105" s="15"/>
      <c r="R105" s="15"/>
      <c r="S105" s="19"/>
    </row>
    <row r="106" spans="1:19" x14ac:dyDescent="0.35">
      <c r="A106" s="20">
        <v>315</v>
      </c>
      <c r="B106" s="22" t="s">
        <v>106</v>
      </c>
      <c r="C106" s="22" t="s">
        <v>106</v>
      </c>
      <c r="D106" t="s">
        <v>105</v>
      </c>
      <c r="E106" t="s">
        <v>80</v>
      </c>
      <c r="F106" s="14">
        <v>20</v>
      </c>
      <c r="G106" s="15" t="s">
        <v>35</v>
      </c>
      <c r="H106" s="16">
        <f>INDEX(X:X, MATCH(G106, W:W, 0))*F106</f>
        <v>20</v>
      </c>
      <c r="I106" s="16">
        <f>IF(COUNTIF($W$3:$W$6, G106) &gt; 0, 0, 1)</f>
        <v>1</v>
      </c>
      <c r="J106" s="16">
        <f>IF(COUNTIF(W$3:W$5, G106) &gt; 0, 0, 1)</f>
        <v>1</v>
      </c>
      <c r="K106" s="17" t="s">
        <v>69</v>
      </c>
      <c r="L106" s="16" t="s">
        <v>20</v>
      </c>
      <c r="M106" s="13"/>
      <c r="N106" s="18"/>
      <c r="O106" s="18"/>
      <c r="P106" s="18"/>
      <c r="Q106" s="15"/>
      <c r="R106" s="15"/>
      <c r="S106" s="19"/>
    </row>
    <row r="107" spans="1:19" x14ac:dyDescent="0.35">
      <c r="A107" s="20">
        <v>353</v>
      </c>
      <c r="B107" s="22" t="s">
        <v>106</v>
      </c>
      <c r="C107" s="22" t="s">
        <v>106</v>
      </c>
      <c r="D107" t="s">
        <v>105</v>
      </c>
      <c r="E107" t="s">
        <v>80</v>
      </c>
      <c r="F107" s="14">
        <v>50</v>
      </c>
      <c r="G107" s="15" t="s">
        <v>35</v>
      </c>
      <c r="H107" s="16">
        <f>INDEX(X:X, MATCH(G107, W:W, 0))*F107</f>
        <v>50</v>
      </c>
      <c r="I107" s="16">
        <f>IF(COUNTIF($W$3:$W$6, G107) &gt; 0, 0, 1)</f>
        <v>1</v>
      </c>
      <c r="J107" s="16">
        <f>IF(COUNTIF(W$3:W$5, G107) &gt; 0, 0, 1)</f>
        <v>1</v>
      </c>
      <c r="K107" s="17" t="s">
        <v>69</v>
      </c>
      <c r="L107" s="16" t="s">
        <v>20</v>
      </c>
      <c r="M107" s="13"/>
      <c r="N107" s="18"/>
      <c r="O107" s="18"/>
      <c r="P107" s="18"/>
      <c r="Q107" s="15"/>
      <c r="R107" s="15"/>
      <c r="S107" s="19"/>
    </row>
    <row r="108" spans="1:19" x14ac:dyDescent="0.35">
      <c r="A108" s="20">
        <v>613</v>
      </c>
      <c r="B108" t="s">
        <v>105</v>
      </c>
      <c r="C108" t="s">
        <v>105</v>
      </c>
      <c r="D108" t="s">
        <v>105</v>
      </c>
      <c r="E108" t="s">
        <v>80</v>
      </c>
      <c r="F108" s="14">
        <v>5</v>
      </c>
      <c r="G108" s="15" t="s">
        <v>35</v>
      </c>
      <c r="H108" s="16">
        <f>INDEX(X:X, MATCH(G108, W:W, 0))*F108</f>
        <v>5</v>
      </c>
      <c r="I108" s="16">
        <f>IF(COUNTIF($W$3:$W$6, G108) &gt; 0, 0, 1)</f>
        <v>1</v>
      </c>
      <c r="J108" s="16">
        <f>IF(COUNTIF(W$3:W$5, G108) &gt; 0, 0, 1)</f>
        <v>1</v>
      </c>
      <c r="K108" s="17"/>
      <c r="L108" s="16" t="s">
        <v>21</v>
      </c>
      <c r="M108" s="13"/>
      <c r="N108" s="18"/>
      <c r="O108" s="18"/>
      <c r="P108" s="18"/>
      <c r="Q108" s="15"/>
      <c r="R108" s="15"/>
      <c r="S108" s="19"/>
    </row>
    <row r="109" spans="1:19" x14ac:dyDescent="0.35">
      <c r="A109" s="20">
        <v>238</v>
      </c>
      <c r="B109" t="s">
        <v>105</v>
      </c>
      <c r="C109" s="22" t="s">
        <v>106</v>
      </c>
      <c r="D109" t="s">
        <v>105</v>
      </c>
      <c r="E109" t="s">
        <v>80</v>
      </c>
      <c r="F109" s="14">
        <v>50</v>
      </c>
      <c r="G109" s="15" t="s">
        <v>35</v>
      </c>
      <c r="H109" s="16">
        <f>INDEX(X:X, MATCH(G109, W:W, 0))*F109</f>
        <v>50</v>
      </c>
      <c r="I109" s="16">
        <f>IF(COUNTIF($W$3:$W$6, G109) &gt; 0, 0, 1)</f>
        <v>1</v>
      </c>
      <c r="J109" s="16">
        <f>IF(COUNTIF(W$3:W$5, G109) &gt; 0, 0, 1)</f>
        <v>1</v>
      </c>
      <c r="K109" s="17" t="s">
        <v>84</v>
      </c>
      <c r="L109" s="16" t="s">
        <v>20</v>
      </c>
      <c r="M109" s="13"/>
      <c r="N109" s="18"/>
      <c r="O109" s="18"/>
      <c r="P109" s="18"/>
      <c r="Q109" s="15"/>
      <c r="R109" s="15"/>
      <c r="S109" s="19"/>
    </row>
    <row r="110" spans="1:19" x14ac:dyDescent="0.35">
      <c r="A110" s="20">
        <v>392</v>
      </c>
      <c r="B110" t="s">
        <v>105</v>
      </c>
      <c r="C110" t="s">
        <v>105</v>
      </c>
      <c r="D110" t="s">
        <v>105</v>
      </c>
      <c r="E110" t="s">
        <v>80</v>
      </c>
      <c r="F110" s="14">
        <v>5</v>
      </c>
      <c r="G110" s="15" t="s">
        <v>35</v>
      </c>
      <c r="H110" s="16">
        <f>INDEX(X:X, MATCH(G110, W:W, 0))*F110</f>
        <v>5</v>
      </c>
      <c r="I110" s="16">
        <f>IF(COUNTIF($W$3:$W$6, G110) &gt; 0, 0, 1)</f>
        <v>1</v>
      </c>
      <c r="J110" s="16">
        <f>IF(COUNTIF(W$3:W$5, G110) &gt; 0, 0, 1)</f>
        <v>1</v>
      </c>
      <c r="K110" s="17" t="s">
        <v>52</v>
      </c>
      <c r="L110" s="16" t="s">
        <v>21</v>
      </c>
      <c r="M110" s="13"/>
      <c r="N110" s="18"/>
      <c r="O110" s="18"/>
      <c r="P110" s="18"/>
      <c r="Q110" s="15"/>
      <c r="R110" s="15"/>
      <c r="S110" s="19"/>
    </row>
    <row r="111" spans="1:19" x14ac:dyDescent="0.35">
      <c r="A111" s="20">
        <v>620</v>
      </c>
      <c r="B111" t="s">
        <v>105</v>
      </c>
      <c r="C111" s="22" t="s">
        <v>106</v>
      </c>
      <c r="D111" t="s">
        <v>105</v>
      </c>
      <c r="E111" t="s">
        <v>63</v>
      </c>
      <c r="F111" s="14">
        <v>50</v>
      </c>
      <c r="G111" s="15" t="s">
        <v>26</v>
      </c>
      <c r="H111" s="16">
        <f>INDEX(X:X, MATCH(G111, W:W, 0))*F111</f>
        <v>25</v>
      </c>
      <c r="I111" s="16">
        <f>IF(COUNTIF($W$3:$W$6, G111) &gt; 0, 0, 1)</f>
        <v>0</v>
      </c>
      <c r="J111" s="16">
        <f>IF(COUNTIF(W$3:W$5, G111) &gt; 0, 0, 1)</f>
        <v>0</v>
      </c>
      <c r="K111" s="17"/>
      <c r="L111" s="16" t="s">
        <v>21</v>
      </c>
      <c r="M111" s="13"/>
      <c r="N111" s="18"/>
      <c r="O111" s="18"/>
      <c r="P111" s="18"/>
      <c r="Q111" s="15"/>
      <c r="R111" s="15"/>
      <c r="S111" s="19"/>
    </row>
    <row r="112" spans="1:19" x14ac:dyDescent="0.35">
      <c r="A112" s="20">
        <v>435</v>
      </c>
      <c r="B112" s="22" t="s">
        <v>106</v>
      </c>
      <c r="C112" s="22" t="s">
        <v>106</v>
      </c>
      <c r="D112" t="s">
        <v>105</v>
      </c>
      <c r="E112" t="s">
        <v>63</v>
      </c>
      <c r="F112" s="14">
        <v>15</v>
      </c>
      <c r="G112" s="15" t="s">
        <v>26</v>
      </c>
      <c r="H112" s="16">
        <f>INDEX(X:X, MATCH(G112, W:W, 0))*F112</f>
        <v>7.5</v>
      </c>
      <c r="I112" s="16">
        <f>IF(COUNTIF($W$3:$W$6, G112) &gt; 0, 0, 1)</f>
        <v>0</v>
      </c>
      <c r="J112" s="16">
        <f>IF(COUNTIF(W$3:W$5, G112) &gt; 0, 0, 1)</f>
        <v>0</v>
      </c>
      <c r="K112" s="17"/>
      <c r="L112" s="16" t="s">
        <v>20</v>
      </c>
      <c r="M112" s="13"/>
      <c r="N112" s="18"/>
      <c r="O112" s="18"/>
      <c r="P112" s="18"/>
      <c r="Q112" s="15"/>
      <c r="R112" s="15"/>
      <c r="S112" s="19"/>
    </row>
    <row r="113" spans="1:19" x14ac:dyDescent="0.35">
      <c r="A113" s="20">
        <v>508</v>
      </c>
      <c r="B113" t="s">
        <v>105</v>
      </c>
      <c r="C113" t="s">
        <v>105</v>
      </c>
      <c r="D113" t="s">
        <v>105</v>
      </c>
      <c r="E113" t="s">
        <v>72</v>
      </c>
      <c r="F113" s="14">
        <v>5</v>
      </c>
      <c r="G113" s="15" t="s">
        <v>26</v>
      </c>
      <c r="H113" s="16">
        <f>INDEX(X:X, MATCH(G113, W:W, 0))*F113</f>
        <v>2.5</v>
      </c>
      <c r="I113" s="16">
        <f>IF(COUNTIF($W$3:$W$6, G113) &gt; 0, 0, 1)</f>
        <v>0</v>
      </c>
      <c r="J113" s="16">
        <f>IF(COUNTIF(W$3:W$5, G113) &gt; 0, 0, 1)</f>
        <v>0</v>
      </c>
      <c r="K113" s="17" t="s">
        <v>29</v>
      </c>
      <c r="L113" s="16" t="s">
        <v>21</v>
      </c>
      <c r="M113" s="13"/>
      <c r="N113" s="18"/>
      <c r="O113" s="18"/>
      <c r="P113" s="18"/>
      <c r="Q113" s="15"/>
      <c r="R113" s="15"/>
      <c r="S113" s="19"/>
    </row>
    <row r="114" spans="1:19" x14ac:dyDescent="0.35">
      <c r="A114" s="20">
        <v>426</v>
      </c>
      <c r="B114" s="22" t="s">
        <v>106</v>
      </c>
      <c r="C114" s="22" t="s">
        <v>106</v>
      </c>
      <c r="D114" t="s">
        <v>105</v>
      </c>
      <c r="E114" t="s">
        <v>72</v>
      </c>
      <c r="F114" s="14">
        <v>5</v>
      </c>
      <c r="G114" s="15" t="s">
        <v>26</v>
      </c>
      <c r="H114" s="16">
        <f>INDEX(X:X, MATCH(G114, W:W, 0))*F114</f>
        <v>2.5</v>
      </c>
      <c r="I114" s="16">
        <f>IF(COUNTIF($W$3:$W$6, G114) &gt; 0, 0, 1)</f>
        <v>0</v>
      </c>
      <c r="J114" s="16">
        <f>IF(COUNTIF(W$3:W$5, G114) &gt; 0, 0, 1)</f>
        <v>0</v>
      </c>
      <c r="K114" s="17" t="s">
        <v>46</v>
      </c>
      <c r="L114" s="16" t="s">
        <v>21</v>
      </c>
      <c r="M114" s="13"/>
      <c r="N114" s="18"/>
      <c r="O114" s="18"/>
      <c r="P114" s="18"/>
      <c r="Q114" s="15"/>
      <c r="R114" s="15"/>
      <c r="S114" s="19"/>
    </row>
    <row r="115" spans="1:19" x14ac:dyDescent="0.35">
      <c r="A115" s="20">
        <v>514</v>
      </c>
      <c r="B115" t="s">
        <v>105</v>
      </c>
      <c r="C115" s="22" t="s">
        <v>106</v>
      </c>
      <c r="D115" s="22" t="s">
        <v>106</v>
      </c>
      <c r="E115" t="s">
        <v>72</v>
      </c>
      <c r="F115" s="14">
        <v>20</v>
      </c>
      <c r="G115" s="15" t="s">
        <v>26</v>
      </c>
      <c r="H115" s="16">
        <f>INDEX(X:X, MATCH(G115, W:W, 0))*F115</f>
        <v>10</v>
      </c>
      <c r="I115" s="16">
        <f>IF(COUNTIF($W$3:$W$6, G115) &gt; 0, 0, 1)</f>
        <v>0</v>
      </c>
      <c r="J115" s="16">
        <f>IF(COUNTIF(W$3:W$5, G115) &gt; 0, 0, 1)</f>
        <v>0</v>
      </c>
      <c r="K115" s="17"/>
      <c r="L115" s="16" t="s">
        <v>20</v>
      </c>
      <c r="M115" s="13"/>
      <c r="N115" s="18"/>
      <c r="O115" s="18"/>
      <c r="P115" s="18"/>
      <c r="Q115" s="15"/>
      <c r="R115" s="15"/>
      <c r="S115" s="19"/>
    </row>
    <row r="116" spans="1:19" x14ac:dyDescent="0.35">
      <c r="A116" s="20">
        <v>332</v>
      </c>
      <c r="B116" t="s">
        <v>105</v>
      </c>
      <c r="C116" t="s">
        <v>105</v>
      </c>
      <c r="D116" t="s">
        <v>105</v>
      </c>
      <c r="E116" t="s">
        <v>72</v>
      </c>
      <c r="F116" s="14">
        <v>5</v>
      </c>
      <c r="G116" s="15" t="s">
        <v>26</v>
      </c>
      <c r="H116" s="16">
        <f>INDEX(X:X, MATCH(G116, W:W, 0))*F116</f>
        <v>2.5</v>
      </c>
      <c r="I116" s="16">
        <f>IF(COUNTIF($W$3:$W$6, G116) &gt; 0, 0, 1)</f>
        <v>0</v>
      </c>
      <c r="J116" s="16">
        <f>IF(COUNTIF(W$3:W$5, G116) &gt; 0, 0, 1)</f>
        <v>0</v>
      </c>
      <c r="K116" s="17"/>
      <c r="L116" s="16" t="s">
        <v>21</v>
      </c>
      <c r="M116" s="13"/>
      <c r="N116" s="18"/>
      <c r="O116" s="18"/>
      <c r="P116" s="18"/>
      <c r="Q116" s="15"/>
      <c r="R116" s="15"/>
      <c r="S116" s="19"/>
    </row>
    <row r="117" spans="1:19" x14ac:dyDescent="0.35">
      <c r="A117" s="20">
        <v>339</v>
      </c>
      <c r="B117" s="22" t="s">
        <v>106</v>
      </c>
      <c r="C117" t="s">
        <v>105</v>
      </c>
      <c r="D117" t="s">
        <v>105</v>
      </c>
      <c r="E117" t="s">
        <v>72</v>
      </c>
      <c r="F117" s="14">
        <v>10</v>
      </c>
      <c r="G117" s="15" t="s">
        <v>26</v>
      </c>
      <c r="H117" s="16">
        <f>INDEX(X:X, MATCH(G117, W:W, 0))*F117</f>
        <v>5</v>
      </c>
      <c r="I117" s="16">
        <f>IF(COUNTIF($W$3:$W$6, G117) &gt; 0, 0, 1)</f>
        <v>0</v>
      </c>
      <c r="J117" s="16">
        <f>IF(COUNTIF(W$3:W$5, G117) &gt; 0, 0, 1)</f>
        <v>0</v>
      </c>
      <c r="K117" s="17" t="s">
        <v>85</v>
      </c>
      <c r="L117" s="16" t="s">
        <v>21</v>
      </c>
      <c r="M117" s="13"/>
      <c r="N117" s="18"/>
      <c r="O117" s="18"/>
      <c r="P117" s="18"/>
      <c r="Q117" s="15"/>
      <c r="R117" s="15"/>
      <c r="S117" s="19"/>
    </row>
    <row r="118" spans="1:19" x14ac:dyDescent="0.35">
      <c r="A118" s="20">
        <v>37</v>
      </c>
      <c r="B118" t="s">
        <v>105</v>
      </c>
      <c r="C118" s="22" t="s">
        <v>106</v>
      </c>
      <c r="D118" t="s">
        <v>105</v>
      </c>
      <c r="E118" t="s">
        <v>72</v>
      </c>
      <c r="F118" s="14">
        <v>10</v>
      </c>
      <c r="G118" s="15" t="s">
        <v>26</v>
      </c>
      <c r="H118" s="16">
        <f>INDEX(X:X, MATCH(G118, W:W, 0))*F118</f>
        <v>5</v>
      </c>
      <c r="I118" s="16">
        <f>IF(COUNTIF($W$3:$W$6, G118) &gt; 0, 0, 1)</f>
        <v>0</v>
      </c>
      <c r="J118" s="16">
        <f>IF(COUNTIF(W$3:W$5, G118) &gt; 0, 0, 1)</f>
        <v>0</v>
      </c>
      <c r="K118" s="17"/>
      <c r="L118" s="16" t="s">
        <v>21</v>
      </c>
      <c r="M118" s="13"/>
      <c r="N118" s="18"/>
      <c r="O118" s="18"/>
      <c r="P118" s="18"/>
      <c r="Q118" s="15"/>
      <c r="R118" s="15"/>
      <c r="S118" s="19"/>
    </row>
    <row r="119" spans="1:19" x14ac:dyDescent="0.35">
      <c r="A119" s="20">
        <v>62</v>
      </c>
      <c r="B119" t="s">
        <v>105</v>
      </c>
      <c r="C119" s="22" t="s">
        <v>106</v>
      </c>
      <c r="D119" t="s">
        <v>105</v>
      </c>
      <c r="E119" t="s">
        <v>72</v>
      </c>
      <c r="F119" s="14">
        <v>30</v>
      </c>
      <c r="G119" s="15" t="s">
        <v>26</v>
      </c>
      <c r="H119" s="16">
        <f>INDEX(X:X, MATCH(G119, W:W, 0))*F119</f>
        <v>15</v>
      </c>
      <c r="I119" s="16">
        <f>IF(COUNTIF($W$3:$W$6, G119) &gt; 0, 0, 1)</f>
        <v>0</v>
      </c>
      <c r="J119" s="16">
        <f>IF(COUNTIF(W$3:W$5, G119) &gt; 0, 0, 1)</f>
        <v>0</v>
      </c>
      <c r="K119" s="17"/>
      <c r="L119" s="16" t="s">
        <v>20</v>
      </c>
      <c r="M119" s="13"/>
      <c r="N119" s="18"/>
      <c r="O119" s="18"/>
      <c r="P119" s="18"/>
      <c r="Q119" s="15"/>
      <c r="R119" s="15"/>
      <c r="S119" s="19"/>
    </row>
    <row r="120" spans="1:19" x14ac:dyDescent="0.35">
      <c r="A120" s="20">
        <v>130</v>
      </c>
      <c r="B120" t="s">
        <v>105</v>
      </c>
      <c r="C120" s="22" t="s">
        <v>106</v>
      </c>
      <c r="D120" t="s">
        <v>105</v>
      </c>
      <c r="E120" t="s">
        <v>72</v>
      </c>
      <c r="F120" s="14">
        <v>15</v>
      </c>
      <c r="G120" s="15" t="s">
        <v>26</v>
      </c>
      <c r="H120" s="16">
        <f>INDEX(X:X, MATCH(G120, W:W, 0))*F120</f>
        <v>7.5</v>
      </c>
      <c r="I120" s="16">
        <f>IF(COUNTIF($W$3:$W$6, G120) &gt; 0, 0, 1)</f>
        <v>0</v>
      </c>
      <c r="J120" s="16">
        <f>IF(COUNTIF(W$3:W$5, G120) &gt; 0, 0, 1)</f>
        <v>0</v>
      </c>
      <c r="K120" s="17"/>
      <c r="L120" s="16" t="s">
        <v>21</v>
      </c>
      <c r="M120" s="13"/>
      <c r="N120" s="18"/>
      <c r="O120" s="18"/>
      <c r="P120" s="18"/>
      <c r="Q120" s="15"/>
      <c r="R120" s="15"/>
      <c r="S120" s="19"/>
    </row>
    <row r="121" spans="1:19" x14ac:dyDescent="0.35">
      <c r="A121" s="20">
        <v>135</v>
      </c>
      <c r="B121" t="s">
        <v>105</v>
      </c>
      <c r="C121" s="22" t="s">
        <v>106</v>
      </c>
      <c r="D121" t="s">
        <v>105</v>
      </c>
      <c r="E121" t="s">
        <v>72</v>
      </c>
      <c r="F121" s="14">
        <v>5</v>
      </c>
      <c r="G121" s="15" t="s">
        <v>26</v>
      </c>
      <c r="H121" s="16">
        <f>INDEX(X:X, MATCH(G121, W:W, 0))*F121</f>
        <v>2.5</v>
      </c>
      <c r="I121" s="16">
        <f>IF(COUNTIF($W$3:$W$6, G121) &gt; 0, 0, 1)</f>
        <v>0</v>
      </c>
      <c r="J121" s="16">
        <f>IF(COUNTIF(W$3:W$5, G121) &gt; 0, 0, 1)</f>
        <v>0</v>
      </c>
      <c r="K121" s="17" t="s">
        <v>98</v>
      </c>
      <c r="L121" s="16" t="s">
        <v>20</v>
      </c>
      <c r="M121" s="13"/>
      <c r="N121" s="18"/>
      <c r="O121" s="18"/>
      <c r="P121" s="18"/>
      <c r="Q121" s="15"/>
      <c r="R121" s="15"/>
      <c r="S121" s="19"/>
    </row>
    <row r="122" spans="1:19" x14ac:dyDescent="0.35">
      <c r="A122" s="20">
        <v>142</v>
      </c>
      <c r="B122" t="s">
        <v>105</v>
      </c>
      <c r="C122" s="22" t="s">
        <v>106</v>
      </c>
      <c r="D122" t="s">
        <v>105</v>
      </c>
      <c r="E122" t="s">
        <v>72</v>
      </c>
      <c r="F122" s="14">
        <v>25</v>
      </c>
      <c r="G122" s="15" t="s">
        <v>26</v>
      </c>
      <c r="H122" s="16">
        <f>INDEX(X:X, MATCH(G122, W:W, 0))*F122</f>
        <v>12.5</v>
      </c>
      <c r="I122" s="16">
        <f>IF(COUNTIF($W$3:$W$6, G122) &gt; 0, 0, 1)</f>
        <v>0</v>
      </c>
      <c r="J122" s="16">
        <f>IF(COUNTIF(W$3:W$5, G122) &gt; 0, 0, 1)</f>
        <v>0</v>
      </c>
      <c r="K122" s="17"/>
      <c r="L122" s="16" t="s">
        <v>21</v>
      </c>
      <c r="M122" s="13"/>
      <c r="N122" s="18"/>
      <c r="O122" s="18"/>
      <c r="P122" s="18"/>
      <c r="Q122" s="15"/>
      <c r="R122" s="15"/>
      <c r="S122" s="19"/>
    </row>
    <row r="123" spans="1:19" x14ac:dyDescent="0.35">
      <c r="A123" s="20">
        <v>146</v>
      </c>
      <c r="B123" t="s">
        <v>105</v>
      </c>
      <c r="C123" s="22" t="s">
        <v>106</v>
      </c>
      <c r="D123" t="s">
        <v>105</v>
      </c>
      <c r="E123" t="s">
        <v>72</v>
      </c>
      <c r="F123" s="14">
        <v>10</v>
      </c>
      <c r="G123" s="15" t="s">
        <v>26</v>
      </c>
      <c r="H123" s="16">
        <f>INDEX(X:X, MATCH(G123, W:W, 0))*F123</f>
        <v>5</v>
      </c>
      <c r="I123" s="16">
        <f>IF(COUNTIF($W$3:$W$6, G123) &gt; 0, 0, 1)</f>
        <v>0</v>
      </c>
      <c r="J123" s="16">
        <f>IF(COUNTIF(W$3:W$5, G123) &gt; 0, 0, 1)</f>
        <v>0</v>
      </c>
      <c r="K123" s="17" t="s">
        <v>70</v>
      </c>
      <c r="L123" s="16" t="s">
        <v>20</v>
      </c>
      <c r="M123" s="13"/>
      <c r="N123" s="18"/>
      <c r="O123" s="18"/>
      <c r="P123" s="18"/>
      <c r="Q123" s="15"/>
      <c r="R123" s="15"/>
      <c r="S123" s="19"/>
    </row>
    <row r="124" spans="1:19" x14ac:dyDescent="0.35">
      <c r="A124" s="20">
        <v>149</v>
      </c>
      <c r="B124" t="s">
        <v>105</v>
      </c>
      <c r="C124" s="22" t="s">
        <v>106</v>
      </c>
      <c r="D124" t="s">
        <v>105</v>
      </c>
      <c r="E124" t="s">
        <v>72</v>
      </c>
      <c r="F124" s="14">
        <v>10</v>
      </c>
      <c r="G124" s="15" t="s">
        <v>26</v>
      </c>
      <c r="H124" s="16">
        <f>INDEX(X:X, MATCH(G124, W:W, 0))*F124</f>
        <v>5</v>
      </c>
      <c r="I124" s="16">
        <f>IF(COUNTIF($W$3:$W$6, G124) &gt; 0, 0, 1)</f>
        <v>0</v>
      </c>
      <c r="J124" s="16">
        <f>IF(COUNTIF(W$3:W$5, G124) &gt; 0, 0, 1)</f>
        <v>0</v>
      </c>
      <c r="K124" s="17"/>
      <c r="L124" s="16" t="s">
        <v>21</v>
      </c>
      <c r="M124" s="13"/>
      <c r="N124" s="18"/>
      <c r="O124" s="18"/>
      <c r="P124" s="18"/>
      <c r="Q124" s="15"/>
      <c r="R124" s="15"/>
      <c r="S124" s="19"/>
    </row>
    <row r="125" spans="1:19" x14ac:dyDescent="0.35">
      <c r="A125" s="20">
        <v>239</v>
      </c>
      <c r="B125" t="s">
        <v>105</v>
      </c>
      <c r="C125" s="22" t="s">
        <v>106</v>
      </c>
      <c r="D125" t="s">
        <v>105</v>
      </c>
      <c r="E125" t="s">
        <v>72</v>
      </c>
      <c r="F125" s="14">
        <v>25</v>
      </c>
      <c r="G125" s="15" t="s">
        <v>26</v>
      </c>
      <c r="H125" s="16">
        <f>INDEX(X:X, MATCH(G125, W:W, 0))*F125</f>
        <v>12.5</v>
      </c>
      <c r="I125" s="16">
        <f>IF(COUNTIF($W$3:$W$6, G125) &gt; 0, 0, 1)</f>
        <v>0</v>
      </c>
      <c r="J125" s="16">
        <f>IF(COUNTIF(W$3:W$5, G125) &gt; 0, 0, 1)</f>
        <v>0</v>
      </c>
      <c r="K125" s="17"/>
      <c r="L125" s="16" t="s">
        <v>20</v>
      </c>
      <c r="M125" s="13"/>
      <c r="N125" s="18"/>
      <c r="O125" s="18"/>
      <c r="P125" s="18"/>
      <c r="Q125" s="15"/>
      <c r="R125" s="15"/>
      <c r="S125" s="19"/>
    </row>
    <row r="126" spans="1:19" x14ac:dyDescent="0.35">
      <c r="A126" s="20">
        <v>243</v>
      </c>
      <c r="B126" t="s">
        <v>105</v>
      </c>
      <c r="C126" s="22" t="s">
        <v>106</v>
      </c>
      <c r="D126" t="s">
        <v>105</v>
      </c>
      <c r="E126" t="s">
        <v>72</v>
      </c>
      <c r="F126" s="14">
        <v>5</v>
      </c>
      <c r="G126" s="15" t="s">
        <v>26</v>
      </c>
      <c r="H126" s="16">
        <f>INDEX(X:X, MATCH(G126, W:W, 0))*F126</f>
        <v>2.5</v>
      </c>
      <c r="I126" s="16">
        <f>IF(COUNTIF($W$3:$W$6, G126) &gt; 0, 0, 1)</f>
        <v>0</v>
      </c>
      <c r="J126" s="16">
        <f>IF(COUNTIF(W$3:W$5, G126) &gt; 0, 0, 1)</f>
        <v>0</v>
      </c>
      <c r="K126" s="17" t="s">
        <v>79</v>
      </c>
      <c r="L126" s="16" t="s">
        <v>21</v>
      </c>
      <c r="M126" s="13"/>
      <c r="N126" s="18"/>
      <c r="O126" s="18"/>
      <c r="P126" s="18"/>
      <c r="Q126" s="15"/>
      <c r="R126" s="15"/>
      <c r="S126" s="19"/>
    </row>
    <row r="127" spans="1:19" x14ac:dyDescent="0.35">
      <c r="A127" s="20">
        <v>336</v>
      </c>
      <c r="B127" t="s">
        <v>105</v>
      </c>
      <c r="C127" s="22" t="s">
        <v>106</v>
      </c>
      <c r="D127" t="s">
        <v>105</v>
      </c>
      <c r="E127" t="s">
        <v>72</v>
      </c>
      <c r="F127" s="14">
        <v>5</v>
      </c>
      <c r="G127" s="15" t="s">
        <v>26</v>
      </c>
      <c r="H127" s="16">
        <f>INDEX(X:X, MATCH(G127, W:W, 0))*F127</f>
        <v>2.5</v>
      </c>
      <c r="I127" s="16">
        <f>IF(COUNTIF($W$3:$W$6, G127) &gt; 0, 0, 1)</f>
        <v>0</v>
      </c>
      <c r="J127" s="16">
        <f>IF(COUNTIF(W$3:W$5, G127) &gt; 0, 0, 1)</f>
        <v>0</v>
      </c>
      <c r="K127" s="17" t="s">
        <v>99</v>
      </c>
      <c r="L127" s="16" t="s">
        <v>21</v>
      </c>
      <c r="M127" s="13"/>
      <c r="N127" s="18"/>
      <c r="O127" s="18"/>
      <c r="P127" s="18"/>
      <c r="Q127" s="15"/>
      <c r="R127" s="15"/>
      <c r="S127" s="19"/>
    </row>
    <row r="128" spans="1:19" x14ac:dyDescent="0.35">
      <c r="A128" s="20">
        <v>360</v>
      </c>
      <c r="B128" t="s">
        <v>105</v>
      </c>
      <c r="C128" s="22" t="s">
        <v>106</v>
      </c>
      <c r="D128" t="s">
        <v>105</v>
      </c>
      <c r="E128" t="s">
        <v>72</v>
      </c>
      <c r="F128" s="14">
        <v>10</v>
      </c>
      <c r="G128" s="15" t="s">
        <v>26</v>
      </c>
      <c r="H128" s="16">
        <f>INDEX(X:X, MATCH(G128, W:W, 0))*F128</f>
        <v>5</v>
      </c>
      <c r="I128" s="16">
        <f>IF(COUNTIF($W$3:$W$6, G128) &gt; 0, 0, 1)</f>
        <v>0</v>
      </c>
      <c r="J128" s="16">
        <f>IF(COUNTIF(W$3:W$5, G128) &gt; 0, 0, 1)</f>
        <v>0</v>
      </c>
      <c r="K128" s="17" t="s">
        <v>79</v>
      </c>
      <c r="L128" s="16" t="s">
        <v>21</v>
      </c>
      <c r="M128" s="13"/>
      <c r="N128" s="18"/>
      <c r="O128" s="18"/>
      <c r="P128" s="18"/>
      <c r="Q128" s="15"/>
      <c r="R128" s="15"/>
      <c r="S128" s="19"/>
    </row>
    <row r="129" spans="1:19" x14ac:dyDescent="0.35">
      <c r="A129" s="20">
        <v>372</v>
      </c>
      <c r="B129" t="s">
        <v>105</v>
      </c>
      <c r="C129" s="22" t="s">
        <v>106</v>
      </c>
      <c r="D129" t="s">
        <v>105</v>
      </c>
      <c r="E129" t="s">
        <v>72</v>
      </c>
      <c r="F129" s="14">
        <v>10</v>
      </c>
      <c r="G129" s="15" t="s">
        <v>26</v>
      </c>
      <c r="H129" s="16">
        <f>INDEX(X:X, MATCH(G129, W:W, 0))*F129</f>
        <v>5</v>
      </c>
      <c r="I129" s="16">
        <f>IF(COUNTIF($W$3:$W$6, G129) &gt; 0, 0, 1)</f>
        <v>0</v>
      </c>
      <c r="J129" s="16">
        <f>IF(COUNTIF(W$3:W$5, G129) &gt; 0, 0, 1)</f>
        <v>0</v>
      </c>
      <c r="K129" s="17"/>
      <c r="L129" s="16" t="s">
        <v>20</v>
      </c>
      <c r="M129" s="13"/>
      <c r="N129" s="18"/>
      <c r="O129" s="18"/>
      <c r="P129" s="18"/>
      <c r="Q129" s="15"/>
      <c r="R129" s="15"/>
      <c r="S129" s="19"/>
    </row>
    <row r="130" spans="1:19" x14ac:dyDescent="0.35">
      <c r="A130" s="20">
        <v>375</v>
      </c>
      <c r="B130" t="s">
        <v>105</v>
      </c>
      <c r="C130" s="22" t="s">
        <v>106</v>
      </c>
      <c r="D130" t="s">
        <v>105</v>
      </c>
      <c r="E130" t="s">
        <v>72</v>
      </c>
      <c r="F130" s="14">
        <v>5</v>
      </c>
      <c r="G130" s="15" t="s">
        <v>26</v>
      </c>
      <c r="H130" s="16">
        <f>INDEX(X:X, MATCH(G130, W:W, 0))*F130</f>
        <v>2.5</v>
      </c>
      <c r="I130" s="16">
        <f>IF(COUNTIF($W$3:$W$6, G130) &gt; 0, 0, 1)</f>
        <v>0</v>
      </c>
      <c r="J130" s="16">
        <f>IF(COUNTIF(W$3:W$5, G130) &gt; 0, 0, 1)</f>
        <v>0</v>
      </c>
      <c r="K130" s="17"/>
      <c r="L130" s="16" t="s">
        <v>21</v>
      </c>
      <c r="M130" s="13"/>
      <c r="N130" s="18"/>
      <c r="O130" s="18"/>
      <c r="P130" s="18"/>
      <c r="Q130" s="15"/>
      <c r="R130" s="15"/>
      <c r="S130" s="19"/>
    </row>
    <row r="131" spans="1:19" x14ac:dyDescent="0.35">
      <c r="A131" s="20">
        <v>388</v>
      </c>
      <c r="B131" t="s">
        <v>105</v>
      </c>
      <c r="C131" s="22" t="s">
        <v>106</v>
      </c>
      <c r="D131" t="s">
        <v>105</v>
      </c>
      <c r="E131" t="s">
        <v>72</v>
      </c>
      <c r="F131" s="14">
        <v>10</v>
      </c>
      <c r="G131" s="15" t="s">
        <v>26</v>
      </c>
      <c r="H131" s="16">
        <f>INDEX(X:X, MATCH(G131, W:W, 0))*F131</f>
        <v>5</v>
      </c>
      <c r="I131" s="16">
        <f>IF(COUNTIF($W$3:$W$6, G131) &gt; 0, 0, 1)</f>
        <v>0</v>
      </c>
      <c r="J131" s="16">
        <f>IF(COUNTIF(W$3:W$5, G131) &gt; 0, 0, 1)</f>
        <v>0</v>
      </c>
      <c r="K131" s="17" t="s">
        <v>68</v>
      </c>
      <c r="L131" s="16" t="s">
        <v>21</v>
      </c>
      <c r="M131" s="13"/>
      <c r="N131" s="18"/>
      <c r="O131" s="18"/>
      <c r="P131" s="18"/>
      <c r="Q131" s="15"/>
      <c r="R131" s="15"/>
      <c r="S131" s="19"/>
    </row>
    <row r="132" spans="1:19" x14ac:dyDescent="0.35">
      <c r="A132" s="20">
        <v>389</v>
      </c>
      <c r="B132" t="s">
        <v>105</v>
      </c>
      <c r="C132" s="22" t="s">
        <v>106</v>
      </c>
      <c r="D132" t="s">
        <v>105</v>
      </c>
      <c r="E132" t="s">
        <v>72</v>
      </c>
      <c r="F132" s="14">
        <v>5</v>
      </c>
      <c r="G132" s="15" t="s">
        <v>26</v>
      </c>
      <c r="H132" s="16">
        <f>INDEX(X:X, MATCH(G132, W:W, 0))*F132</f>
        <v>2.5</v>
      </c>
      <c r="I132" s="16">
        <f>IF(COUNTIF($W$3:$W$6, G132) &gt; 0, 0, 1)</f>
        <v>0</v>
      </c>
      <c r="J132" s="16">
        <f>IF(COUNTIF(W$3:W$5, G132) &gt; 0, 0, 1)</f>
        <v>0</v>
      </c>
      <c r="K132" s="17" t="s">
        <v>81</v>
      </c>
      <c r="L132" s="16" t="s">
        <v>21</v>
      </c>
      <c r="M132" s="13"/>
      <c r="N132" s="18"/>
      <c r="O132" s="18"/>
      <c r="P132" s="18"/>
      <c r="Q132" s="15"/>
      <c r="R132" s="15"/>
      <c r="S132" s="19"/>
    </row>
    <row r="133" spans="1:19" x14ac:dyDescent="0.35">
      <c r="A133" s="20">
        <v>406</v>
      </c>
      <c r="B133" t="s">
        <v>105</v>
      </c>
      <c r="C133" s="22" t="s">
        <v>106</v>
      </c>
      <c r="D133" t="s">
        <v>105</v>
      </c>
      <c r="E133" t="s">
        <v>72</v>
      </c>
      <c r="F133" s="14">
        <v>25</v>
      </c>
      <c r="G133" s="15" t="s">
        <v>26</v>
      </c>
      <c r="H133" s="16">
        <f>INDEX(X:X, MATCH(G133, W:W, 0))*F133</f>
        <v>12.5</v>
      </c>
      <c r="I133" s="16">
        <f>IF(COUNTIF($W$3:$W$6, G133) &gt; 0, 0, 1)</f>
        <v>0</v>
      </c>
      <c r="J133" s="16">
        <f>IF(COUNTIF(W$3:W$5, G133) &gt; 0, 0, 1)</f>
        <v>0</v>
      </c>
      <c r="K133" s="17" t="s">
        <v>88</v>
      </c>
      <c r="L133" s="16" t="s">
        <v>21</v>
      </c>
      <c r="M133" s="13"/>
      <c r="N133" s="18"/>
      <c r="O133" s="18"/>
      <c r="P133" s="18"/>
      <c r="Q133" s="15"/>
      <c r="R133" s="15"/>
      <c r="S133" s="19"/>
    </row>
    <row r="134" spans="1:19" x14ac:dyDescent="0.35">
      <c r="A134" s="20">
        <v>484</v>
      </c>
      <c r="B134" t="s">
        <v>105</v>
      </c>
      <c r="C134" s="22" t="s">
        <v>106</v>
      </c>
      <c r="D134" t="s">
        <v>105</v>
      </c>
      <c r="E134" t="s">
        <v>72</v>
      </c>
      <c r="F134" s="14">
        <v>10</v>
      </c>
      <c r="G134" s="15" t="s">
        <v>26</v>
      </c>
      <c r="H134" s="16">
        <f>INDEX(X:X, MATCH(G134, W:W, 0))*F134</f>
        <v>5</v>
      </c>
      <c r="I134" s="16">
        <f>IF(COUNTIF($W$3:$W$6, G134) &gt; 0, 0, 1)</f>
        <v>0</v>
      </c>
      <c r="J134" s="16">
        <f>IF(COUNTIF(W$3:W$5, G134) &gt; 0, 0, 1)</f>
        <v>0</v>
      </c>
      <c r="K134" s="17"/>
      <c r="L134" s="16" t="s">
        <v>21</v>
      </c>
      <c r="M134" s="13"/>
      <c r="N134" s="18"/>
      <c r="O134" s="18"/>
      <c r="P134" s="18"/>
      <c r="Q134" s="15"/>
      <c r="R134" s="15"/>
      <c r="S134" s="19"/>
    </row>
    <row r="135" spans="1:19" x14ac:dyDescent="0.35">
      <c r="A135" s="20">
        <v>667</v>
      </c>
      <c r="B135" t="s">
        <v>105</v>
      </c>
      <c r="C135" s="22" t="s">
        <v>106</v>
      </c>
      <c r="D135" t="s">
        <v>105</v>
      </c>
      <c r="E135" t="s">
        <v>72</v>
      </c>
      <c r="F135" s="14">
        <v>10</v>
      </c>
      <c r="G135" s="15" t="s">
        <v>26</v>
      </c>
      <c r="H135" s="16">
        <f>INDEX(X:X, MATCH(G135, W:W, 0))*F135</f>
        <v>5</v>
      </c>
      <c r="I135" s="16">
        <f>IF(COUNTIF($W$3:$W$6, G135) &gt; 0, 0, 1)</f>
        <v>0</v>
      </c>
      <c r="J135" s="16">
        <f>IF(COUNTIF(W$3:W$5, G135) &gt; 0, 0, 1)</f>
        <v>0</v>
      </c>
      <c r="K135" s="17"/>
      <c r="L135" s="16" t="s">
        <v>21</v>
      </c>
      <c r="M135" s="13"/>
      <c r="N135" s="18"/>
      <c r="O135" s="18"/>
      <c r="P135" s="18"/>
      <c r="Q135" s="15"/>
      <c r="R135" s="15"/>
      <c r="S135" s="19"/>
    </row>
    <row r="136" spans="1:19" x14ac:dyDescent="0.35">
      <c r="A136" s="20">
        <v>740</v>
      </c>
      <c r="B136" t="s">
        <v>105</v>
      </c>
      <c r="C136" s="22" t="s">
        <v>106</v>
      </c>
      <c r="D136" t="s">
        <v>105</v>
      </c>
      <c r="E136" t="s">
        <v>72</v>
      </c>
      <c r="F136" s="14">
        <v>5</v>
      </c>
      <c r="G136" s="15" t="s">
        <v>26</v>
      </c>
      <c r="H136" s="16">
        <f>INDEX(X:X, MATCH(G136, W:W, 0))*F136</f>
        <v>2.5</v>
      </c>
      <c r="I136" s="16">
        <f>IF(COUNTIF($W$3:$W$6, G136) &gt; 0, 0, 1)</f>
        <v>0</v>
      </c>
      <c r="J136" s="16">
        <f>IF(COUNTIF(W$3:W$5, G136) &gt; 0, 0, 1)</f>
        <v>0</v>
      </c>
      <c r="K136" s="17" t="s">
        <v>74</v>
      </c>
      <c r="L136" s="16" t="s">
        <v>20</v>
      </c>
      <c r="M136" s="13"/>
      <c r="N136" s="18"/>
      <c r="O136" s="18"/>
      <c r="P136" s="18"/>
      <c r="Q136" s="15"/>
      <c r="R136" s="15"/>
      <c r="S136" s="19"/>
    </row>
    <row r="137" spans="1:19" x14ac:dyDescent="0.35">
      <c r="A137" s="20">
        <v>742</v>
      </c>
      <c r="B137" t="s">
        <v>105</v>
      </c>
      <c r="C137" s="22" t="s">
        <v>106</v>
      </c>
      <c r="D137" t="s">
        <v>105</v>
      </c>
      <c r="E137" t="s">
        <v>72</v>
      </c>
      <c r="F137" s="14">
        <v>5</v>
      </c>
      <c r="G137" s="15" t="s">
        <v>26</v>
      </c>
      <c r="H137" s="16">
        <f>INDEX(X:X, MATCH(G137, W:W, 0))*F137</f>
        <v>2.5</v>
      </c>
      <c r="I137" s="16">
        <f>IF(COUNTIF($W$3:$W$6, G137) &gt; 0, 0, 1)</f>
        <v>0</v>
      </c>
      <c r="J137" s="16">
        <f>IF(COUNTIF(W$3:W$5, G137) &gt; 0, 0, 1)</f>
        <v>0</v>
      </c>
      <c r="K137" s="17" t="s">
        <v>92</v>
      </c>
      <c r="L137" s="16" t="s">
        <v>21</v>
      </c>
      <c r="M137" s="13"/>
      <c r="N137" s="18"/>
      <c r="O137" s="18"/>
      <c r="P137" s="18"/>
      <c r="Q137" s="15"/>
      <c r="R137" s="15"/>
      <c r="S137" s="19"/>
    </row>
    <row r="138" spans="1:19" x14ac:dyDescent="0.35">
      <c r="A138" s="20">
        <v>32</v>
      </c>
      <c r="B138" s="22" t="s">
        <v>106</v>
      </c>
      <c r="C138" s="22" t="s">
        <v>106</v>
      </c>
      <c r="D138" t="s">
        <v>105</v>
      </c>
      <c r="E138" t="s">
        <v>72</v>
      </c>
      <c r="F138" s="14">
        <v>5</v>
      </c>
      <c r="G138" s="15" t="s">
        <v>26</v>
      </c>
      <c r="H138" s="16">
        <f>INDEX(X:X, MATCH(G138, W:W, 0))*F138</f>
        <v>2.5</v>
      </c>
      <c r="I138" s="16">
        <f>IF(COUNTIF($W$3:$W$6, G138) &gt; 0, 0, 1)</f>
        <v>0</v>
      </c>
      <c r="J138" s="16">
        <f>IF(COUNTIF(W$3:W$5, G138) &gt; 0, 0, 1)</f>
        <v>0</v>
      </c>
      <c r="K138" s="17" t="s">
        <v>43</v>
      </c>
      <c r="L138" s="16" t="s">
        <v>21</v>
      </c>
      <c r="M138" s="13"/>
      <c r="N138" s="18"/>
      <c r="O138" s="18"/>
      <c r="P138" s="18"/>
      <c r="Q138" s="15"/>
      <c r="R138" s="15"/>
      <c r="S138" s="19"/>
    </row>
    <row r="139" spans="1:19" x14ac:dyDescent="0.35">
      <c r="A139" s="20">
        <v>56</v>
      </c>
      <c r="B139" s="22" t="s">
        <v>106</v>
      </c>
      <c r="C139" s="22" t="s">
        <v>106</v>
      </c>
      <c r="D139" t="s">
        <v>105</v>
      </c>
      <c r="E139" t="s">
        <v>72</v>
      </c>
      <c r="F139" s="14">
        <v>15</v>
      </c>
      <c r="G139" s="15" t="s">
        <v>26</v>
      </c>
      <c r="H139" s="16">
        <f>INDEX(X:X, MATCH(G139, W:W, 0))*F139</f>
        <v>7.5</v>
      </c>
      <c r="I139" s="16">
        <f>IF(COUNTIF($W$3:$W$6, G139) &gt; 0, 0, 1)</f>
        <v>0</v>
      </c>
      <c r="J139" s="16">
        <f>IF(COUNTIF(W$3:W$5, G139) &gt; 0, 0, 1)</f>
        <v>0</v>
      </c>
      <c r="K139" s="17"/>
      <c r="L139" s="16" t="s">
        <v>21</v>
      </c>
      <c r="M139" s="13"/>
      <c r="N139" s="18"/>
      <c r="O139" s="18"/>
      <c r="P139" s="18"/>
      <c r="Q139" s="15"/>
      <c r="R139" s="15"/>
      <c r="S139" s="19"/>
    </row>
    <row r="140" spans="1:19" x14ac:dyDescent="0.35">
      <c r="A140" s="20">
        <v>95</v>
      </c>
      <c r="B140" s="22" t="s">
        <v>106</v>
      </c>
      <c r="C140" s="22" t="s">
        <v>106</v>
      </c>
      <c r="D140" t="s">
        <v>105</v>
      </c>
      <c r="E140" t="s">
        <v>72</v>
      </c>
      <c r="F140" s="14">
        <v>5</v>
      </c>
      <c r="G140" s="15" t="s">
        <v>26</v>
      </c>
      <c r="H140" s="16">
        <f>INDEX(X:X, MATCH(G140, W:W, 0))*F140</f>
        <v>2.5</v>
      </c>
      <c r="I140" s="16">
        <f>IF(COUNTIF($W$3:$W$6, G140) &gt; 0, 0, 1)</f>
        <v>0</v>
      </c>
      <c r="J140" s="16">
        <f>IF(COUNTIF(W$3:W$5, G140) &gt; 0, 0, 1)</f>
        <v>0</v>
      </c>
      <c r="K140" s="17" t="s">
        <v>43</v>
      </c>
      <c r="L140" s="16" t="s">
        <v>20</v>
      </c>
      <c r="M140" s="13"/>
      <c r="N140" s="18"/>
      <c r="O140" s="18"/>
      <c r="P140" s="18"/>
      <c r="Q140" s="15"/>
      <c r="R140" s="15"/>
      <c r="S140" s="19"/>
    </row>
    <row r="141" spans="1:19" x14ac:dyDescent="0.35">
      <c r="A141" s="20">
        <v>190</v>
      </c>
      <c r="B141" s="22" t="s">
        <v>106</v>
      </c>
      <c r="C141" s="22" t="s">
        <v>106</v>
      </c>
      <c r="D141" t="s">
        <v>105</v>
      </c>
      <c r="E141" t="s">
        <v>72</v>
      </c>
      <c r="F141" s="14">
        <v>40</v>
      </c>
      <c r="G141" s="15" t="s">
        <v>26</v>
      </c>
      <c r="H141" s="16">
        <f>INDEX(X:X, MATCH(G141, W:W, 0))*F141</f>
        <v>20</v>
      </c>
      <c r="I141" s="16">
        <f>IF(COUNTIF($W$3:$W$6, G141) &gt; 0, 0, 1)</f>
        <v>0</v>
      </c>
      <c r="J141" s="16">
        <f>IF(COUNTIF(W$3:W$5, G141) &gt; 0, 0, 1)</f>
        <v>0</v>
      </c>
      <c r="K141" s="17"/>
      <c r="L141" s="16" t="s">
        <v>21</v>
      </c>
      <c r="M141" s="13"/>
      <c r="N141" s="18"/>
      <c r="O141" s="18"/>
      <c r="P141" s="18"/>
      <c r="Q141" s="15"/>
      <c r="R141" s="15"/>
      <c r="S141" s="19"/>
    </row>
    <row r="142" spans="1:19" x14ac:dyDescent="0.35">
      <c r="A142" s="20">
        <v>210</v>
      </c>
      <c r="B142" s="22" t="s">
        <v>106</v>
      </c>
      <c r="C142" s="22" t="s">
        <v>106</v>
      </c>
      <c r="D142" t="s">
        <v>105</v>
      </c>
      <c r="E142" t="s">
        <v>72</v>
      </c>
      <c r="F142" s="14">
        <v>5</v>
      </c>
      <c r="G142" s="15" t="s">
        <v>26</v>
      </c>
      <c r="H142" s="16">
        <f>INDEX(X:X, MATCH(G142, W:W, 0))*F142</f>
        <v>2.5</v>
      </c>
      <c r="I142" s="16">
        <f>IF(COUNTIF($W$3:$W$6, G142) &gt; 0, 0, 1)</f>
        <v>0</v>
      </c>
      <c r="J142" s="16">
        <f>IF(COUNTIF(W$3:W$5, G142) &gt; 0, 0, 1)</f>
        <v>0</v>
      </c>
      <c r="K142" s="17" t="s">
        <v>70</v>
      </c>
      <c r="L142" s="16" t="s">
        <v>21</v>
      </c>
      <c r="M142" s="13"/>
      <c r="N142" s="18"/>
      <c r="O142" s="18"/>
      <c r="P142" s="18"/>
      <c r="Q142" s="15"/>
      <c r="R142" s="15"/>
      <c r="S142" s="19"/>
    </row>
    <row r="143" spans="1:19" x14ac:dyDescent="0.35">
      <c r="A143" s="20">
        <v>220</v>
      </c>
      <c r="B143" s="22" t="s">
        <v>106</v>
      </c>
      <c r="C143" s="22" t="s">
        <v>106</v>
      </c>
      <c r="D143" t="s">
        <v>105</v>
      </c>
      <c r="E143" t="s">
        <v>72</v>
      </c>
      <c r="F143" s="14">
        <v>10</v>
      </c>
      <c r="G143" s="15" t="s">
        <v>26</v>
      </c>
      <c r="H143" s="16">
        <f>INDEX(X:X, MATCH(G143, W:W, 0))*F143</f>
        <v>5</v>
      </c>
      <c r="I143" s="16">
        <f>IF(COUNTIF($W$3:$W$6, G143) &gt; 0, 0, 1)</f>
        <v>0</v>
      </c>
      <c r="J143" s="16">
        <f>IF(COUNTIF(W$3:W$5, G143) &gt; 0, 0, 1)</f>
        <v>0</v>
      </c>
      <c r="K143" s="17"/>
      <c r="L143" s="16" t="s">
        <v>21</v>
      </c>
      <c r="M143" s="13"/>
      <c r="N143" s="18"/>
      <c r="O143" s="18"/>
      <c r="P143" s="18"/>
      <c r="Q143" s="15"/>
      <c r="R143" s="15"/>
      <c r="S143" s="19"/>
    </row>
    <row r="144" spans="1:19" x14ac:dyDescent="0.35">
      <c r="A144" s="20">
        <v>285</v>
      </c>
      <c r="B144" s="22" t="s">
        <v>106</v>
      </c>
      <c r="C144" s="22" t="s">
        <v>106</v>
      </c>
      <c r="D144" t="s">
        <v>105</v>
      </c>
      <c r="E144" t="s">
        <v>72</v>
      </c>
      <c r="F144" s="14">
        <v>5</v>
      </c>
      <c r="G144" s="15" t="s">
        <v>26</v>
      </c>
      <c r="H144" s="16">
        <f>INDEX(X:X, MATCH(G144, W:W, 0))*F144</f>
        <v>2.5</v>
      </c>
      <c r="I144" s="16">
        <f>IF(COUNTIF($W$3:$W$6, G144) &gt; 0, 0, 1)</f>
        <v>0</v>
      </c>
      <c r="J144" s="16">
        <f>IF(COUNTIF(W$3:W$5, G144) &gt; 0, 0, 1)</f>
        <v>0</v>
      </c>
      <c r="K144" s="17" t="s">
        <v>51</v>
      </c>
      <c r="L144" s="16" t="s">
        <v>20</v>
      </c>
      <c r="M144" s="13"/>
      <c r="N144" s="18"/>
      <c r="O144" s="18"/>
      <c r="P144" s="18"/>
      <c r="Q144" s="15"/>
      <c r="R144" s="15"/>
      <c r="S144" s="19"/>
    </row>
    <row r="145" spans="1:19" x14ac:dyDescent="0.35">
      <c r="A145" s="20">
        <v>286</v>
      </c>
      <c r="B145" s="22" t="s">
        <v>106</v>
      </c>
      <c r="C145" s="22" t="s">
        <v>106</v>
      </c>
      <c r="D145" t="s">
        <v>105</v>
      </c>
      <c r="E145" t="s">
        <v>72</v>
      </c>
      <c r="F145" s="14">
        <v>30</v>
      </c>
      <c r="G145" s="15" t="s">
        <v>26</v>
      </c>
      <c r="H145" s="16">
        <f>INDEX(X:X, MATCH(G145, W:W, 0))*F145</f>
        <v>15</v>
      </c>
      <c r="I145" s="16">
        <f>IF(COUNTIF($W$3:$W$6, G145) &gt; 0, 0, 1)</f>
        <v>0</v>
      </c>
      <c r="J145" s="16">
        <f>IF(COUNTIF(W$3:W$5, G145) &gt; 0, 0, 1)</f>
        <v>0</v>
      </c>
      <c r="K145" s="17"/>
      <c r="L145" s="16" t="s">
        <v>20</v>
      </c>
      <c r="M145" s="13"/>
      <c r="N145" s="18"/>
      <c r="O145" s="18"/>
      <c r="P145" s="18"/>
      <c r="Q145" s="15"/>
      <c r="R145" s="15"/>
      <c r="S145" s="19"/>
    </row>
    <row r="146" spans="1:19" x14ac:dyDescent="0.35">
      <c r="A146" s="20">
        <v>386</v>
      </c>
      <c r="B146" s="22" t="s">
        <v>106</v>
      </c>
      <c r="C146" s="22" t="s">
        <v>106</v>
      </c>
      <c r="D146" t="s">
        <v>105</v>
      </c>
      <c r="E146" t="s">
        <v>72</v>
      </c>
      <c r="F146" s="14">
        <v>15</v>
      </c>
      <c r="G146" s="15" t="s">
        <v>26</v>
      </c>
      <c r="H146" s="16">
        <f>INDEX(X:X, MATCH(G146, W:W, 0))*F146</f>
        <v>7.5</v>
      </c>
      <c r="I146" s="16">
        <f>IF(COUNTIF($W$3:$W$6, G146) &gt; 0, 0, 1)</f>
        <v>0</v>
      </c>
      <c r="J146" s="16">
        <f>IF(COUNTIF(W$3:W$5, G146) &gt; 0, 0, 1)</f>
        <v>0</v>
      </c>
      <c r="K146" s="17"/>
      <c r="L146" s="16" t="s">
        <v>20</v>
      </c>
      <c r="M146" s="13"/>
      <c r="N146" s="18"/>
      <c r="O146" s="18"/>
      <c r="P146" s="18"/>
      <c r="Q146" s="15"/>
      <c r="R146" s="15"/>
      <c r="S146" s="19"/>
    </row>
    <row r="147" spans="1:19" x14ac:dyDescent="0.35">
      <c r="A147" s="20">
        <v>390</v>
      </c>
      <c r="B147" s="22" t="s">
        <v>106</v>
      </c>
      <c r="C147" s="22" t="s">
        <v>106</v>
      </c>
      <c r="D147" t="s">
        <v>105</v>
      </c>
      <c r="E147" t="s">
        <v>72</v>
      </c>
      <c r="F147" s="14">
        <v>10</v>
      </c>
      <c r="G147" s="15" t="s">
        <v>26</v>
      </c>
      <c r="H147" s="16">
        <f>INDEX(X:X, MATCH(G147, W:W, 0))*F147</f>
        <v>5</v>
      </c>
      <c r="I147" s="16">
        <f>IF(COUNTIF($W$3:$W$6, G147) &gt; 0, 0, 1)</f>
        <v>0</v>
      </c>
      <c r="J147" s="16">
        <f>IF(COUNTIF(W$3:W$5, G147) &gt; 0, 0, 1)</f>
        <v>0</v>
      </c>
      <c r="K147" s="17"/>
      <c r="L147" s="16" t="s">
        <v>21</v>
      </c>
      <c r="M147" s="13"/>
      <c r="N147" s="18"/>
      <c r="O147" s="18"/>
      <c r="P147" s="18"/>
      <c r="Q147" s="15"/>
      <c r="R147" s="15"/>
      <c r="S147" s="19"/>
    </row>
    <row r="148" spans="1:19" x14ac:dyDescent="0.35">
      <c r="A148" s="20">
        <v>391</v>
      </c>
      <c r="B148" s="22" t="s">
        <v>106</v>
      </c>
      <c r="C148" s="22" t="s">
        <v>106</v>
      </c>
      <c r="D148" t="s">
        <v>105</v>
      </c>
      <c r="E148" t="s">
        <v>72</v>
      </c>
      <c r="F148" s="14">
        <v>10</v>
      </c>
      <c r="G148" s="15" t="s">
        <v>26</v>
      </c>
      <c r="H148" s="16">
        <f>INDEX(X:X, MATCH(G148, W:W, 0))*F148</f>
        <v>5</v>
      </c>
      <c r="I148" s="16">
        <f>IF(COUNTIF($W$3:$W$6, G148) &gt; 0, 0, 1)</f>
        <v>0</v>
      </c>
      <c r="J148" s="16">
        <f>IF(COUNTIF(W$3:W$5, G148) &gt; 0, 0, 1)</f>
        <v>0</v>
      </c>
      <c r="K148" s="17"/>
      <c r="L148" s="16" t="s">
        <v>21</v>
      </c>
      <c r="M148" s="13"/>
      <c r="N148" s="18"/>
      <c r="O148" s="18"/>
      <c r="P148" s="18"/>
      <c r="Q148" s="15"/>
      <c r="R148" s="15"/>
      <c r="S148" s="19"/>
    </row>
    <row r="149" spans="1:19" x14ac:dyDescent="0.35">
      <c r="A149" s="20">
        <v>414</v>
      </c>
      <c r="B149" s="22" t="s">
        <v>106</v>
      </c>
      <c r="C149" s="22" t="s">
        <v>106</v>
      </c>
      <c r="D149" t="s">
        <v>105</v>
      </c>
      <c r="E149" t="s">
        <v>72</v>
      </c>
      <c r="F149" s="14">
        <v>5</v>
      </c>
      <c r="G149" s="15" t="s">
        <v>26</v>
      </c>
      <c r="H149" s="16">
        <f>INDEX(X:X, MATCH(G149, W:W, 0))*F149</f>
        <v>2.5</v>
      </c>
      <c r="I149" s="16">
        <f>IF(COUNTIF($W$3:$W$6, G149) &gt; 0, 0, 1)</f>
        <v>0</v>
      </c>
      <c r="J149" s="16">
        <f>IF(COUNTIF(W$3:W$5, G149) &gt; 0, 0, 1)</f>
        <v>0</v>
      </c>
      <c r="K149" s="17"/>
      <c r="L149" s="16" t="s">
        <v>21</v>
      </c>
      <c r="M149" s="13"/>
      <c r="N149" s="18"/>
      <c r="O149" s="18"/>
      <c r="P149" s="18"/>
      <c r="Q149" s="15"/>
      <c r="R149" s="15"/>
      <c r="S149" s="19"/>
    </row>
    <row r="150" spans="1:19" x14ac:dyDescent="0.35">
      <c r="A150" s="20">
        <v>617</v>
      </c>
      <c r="B150" s="22" t="s">
        <v>106</v>
      </c>
      <c r="C150" s="22" t="s">
        <v>106</v>
      </c>
      <c r="D150" t="s">
        <v>105</v>
      </c>
      <c r="E150" t="s">
        <v>72</v>
      </c>
      <c r="F150" s="14">
        <v>10</v>
      </c>
      <c r="G150" s="15" t="s">
        <v>26</v>
      </c>
      <c r="H150" s="16">
        <f>INDEX(X:X, MATCH(G150, W:W, 0))*F150</f>
        <v>5</v>
      </c>
      <c r="I150" s="16">
        <f>IF(COUNTIF($W$3:$W$6, G150) &gt; 0, 0, 1)</f>
        <v>0</v>
      </c>
      <c r="J150" s="16">
        <f>IF(COUNTIF(W$3:W$5, G150) &gt; 0, 0, 1)</f>
        <v>0</v>
      </c>
      <c r="K150" s="17"/>
      <c r="L150" s="16" t="s">
        <v>21</v>
      </c>
      <c r="M150" s="13"/>
      <c r="N150" s="18"/>
      <c r="O150" s="18"/>
      <c r="P150" s="18"/>
      <c r="Q150" s="15"/>
      <c r="R150" s="15"/>
      <c r="S150" s="19"/>
    </row>
    <row r="151" spans="1:19" x14ac:dyDescent="0.35">
      <c r="A151" s="20">
        <v>633</v>
      </c>
      <c r="B151" s="22" t="s">
        <v>106</v>
      </c>
      <c r="C151" s="22" t="s">
        <v>106</v>
      </c>
      <c r="D151" t="s">
        <v>105</v>
      </c>
      <c r="E151" t="s">
        <v>72</v>
      </c>
      <c r="F151" s="14">
        <v>40</v>
      </c>
      <c r="G151" s="15" t="s">
        <v>26</v>
      </c>
      <c r="H151" s="16">
        <f>INDEX(X:X, MATCH(G151, W:W, 0))*F151</f>
        <v>20</v>
      </c>
      <c r="I151" s="16">
        <f>IF(COUNTIF($W$3:$W$6, G151) &gt; 0, 0, 1)</f>
        <v>0</v>
      </c>
      <c r="J151" s="16">
        <f>IF(COUNTIF(W$3:W$5, G151) &gt; 0, 0, 1)</f>
        <v>0</v>
      </c>
      <c r="K151" s="17"/>
      <c r="L151" s="16" t="s">
        <v>20</v>
      </c>
      <c r="M151" s="13"/>
      <c r="N151" s="18"/>
      <c r="O151" s="18"/>
      <c r="P151" s="18"/>
      <c r="Q151" s="15"/>
      <c r="R151" s="15"/>
      <c r="S151" s="19"/>
    </row>
    <row r="152" spans="1:19" x14ac:dyDescent="0.35">
      <c r="A152" s="20">
        <v>637</v>
      </c>
      <c r="B152" s="22" t="s">
        <v>106</v>
      </c>
      <c r="C152" s="22" t="s">
        <v>106</v>
      </c>
      <c r="D152" t="s">
        <v>105</v>
      </c>
      <c r="E152" t="s">
        <v>72</v>
      </c>
      <c r="F152" s="14">
        <v>10</v>
      </c>
      <c r="G152" s="15" t="s">
        <v>26</v>
      </c>
      <c r="H152" s="16">
        <f>INDEX(X:X, MATCH(G152, W:W, 0))*F152</f>
        <v>5</v>
      </c>
      <c r="I152" s="16">
        <f>IF(COUNTIF($W$3:$W$6, G152) &gt; 0, 0, 1)</f>
        <v>0</v>
      </c>
      <c r="J152" s="16">
        <f>IF(COUNTIF(W$3:W$5, G152) &gt; 0, 0, 1)</f>
        <v>0</v>
      </c>
      <c r="K152" s="17"/>
      <c r="L152" s="16" t="s">
        <v>21</v>
      </c>
      <c r="M152" s="13"/>
      <c r="N152" s="18"/>
      <c r="O152" s="18"/>
      <c r="P152" s="18"/>
      <c r="Q152" s="15"/>
      <c r="R152" s="15"/>
      <c r="S152" s="19"/>
    </row>
    <row r="153" spans="1:19" x14ac:dyDescent="0.35">
      <c r="A153" s="20">
        <v>72</v>
      </c>
      <c r="B153" t="s">
        <v>105</v>
      </c>
      <c r="C153" s="22" t="s">
        <v>106</v>
      </c>
      <c r="D153" t="s">
        <v>105</v>
      </c>
      <c r="E153" t="s">
        <v>72</v>
      </c>
      <c r="F153" s="14">
        <v>5</v>
      </c>
      <c r="G153" s="15" t="s">
        <v>26</v>
      </c>
      <c r="H153" s="16">
        <f>INDEX(X:X, MATCH(G153, W:W, 0))*F153</f>
        <v>2.5</v>
      </c>
      <c r="I153" s="16">
        <f>IF(COUNTIF($W$3:$W$6, G153) &gt; 0, 0, 1)</f>
        <v>0</v>
      </c>
      <c r="J153" s="16">
        <f>IF(COUNTIF(W$3:W$5, G153) &gt; 0, 0, 1)</f>
        <v>0</v>
      </c>
      <c r="K153" s="17"/>
      <c r="L153" s="16" t="s">
        <v>20</v>
      </c>
      <c r="M153" s="13"/>
      <c r="N153" s="18"/>
      <c r="O153" s="18"/>
      <c r="P153" s="18"/>
      <c r="Q153" s="15"/>
      <c r="R153" s="15"/>
      <c r="S153" s="19"/>
    </row>
    <row r="154" spans="1:19" x14ac:dyDescent="0.35">
      <c r="A154" s="20">
        <v>316</v>
      </c>
      <c r="B154" t="s">
        <v>105</v>
      </c>
      <c r="C154" s="22" t="s">
        <v>106</v>
      </c>
      <c r="D154" s="22" t="s">
        <v>106</v>
      </c>
      <c r="E154" t="s">
        <v>72</v>
      </c>
      <c r="F154" s="14">
        <v>15</v>
      </c>
      <c r="G154" s="15" t="s">
        <v>26</v>
      </c>
      <c r="H154" s="16">
        <f>INDEX(X:X, MATCH(G154, W:W, 0))*F154</f>
        <v>7.5</v>
      </c>
      <c r="I154" s="16">
        <f>IF(COUNTIF($W$3:$W$6, G154) &gt; 0, 0, 1)</f>
        <v>0</v>
      </c>
      <c r="J154" s="16">
        <f>IF(COUNTIF(W$3:W$5, G154) &gt; 0, 0, 1)</f>
        <v>0</v>
      </c>
      <c r="K154" s="17"/>
      <c r="L154" s="16" t="s">
        <v>20</v>
      </c>
      <c r="M154" s="13"/>
      <c r="N154" s="18"/>
      <c r="O154" s="18"/>
      <c r="P154" s="18"/>
      <c r="Q154" s="15"/>
      <c r="R154" s="15"/>
      <c r="S154" s="19"/>
    </row>
    <row r="155" spans="1:19" x14ac:dyDescent="0.35">
      <c r="A155" s="20">
        <v>218</v>
      </c>
      <c r="B155" s="22" t="s">
        <v>106</v>
      </c>
      <c r="C155" s="22" t="s">
        <v>106</v>
      </c>
      <c r="D155" s="22" t="s">
        <v>106</v>
      </c>
      <c r="E155" t="s">
        <v>72</v>
      </c>
      <c r="F155" s="14">
        <v>5</v>
      </c>
      <c r="G155" s="15" t="s">
        <v>26</v>
      </c>
      <c r="H155" s="16">
        <f>INDEX(X:X, MATCH(G155, W:W, 0))*F155</f>
        <v>2.5</v>
      </c>
      <c r="I155" s="16">
        <f>IF(COUNTIF($W$3:$W$6, G155) &gt; 0, 0, 1)</f>
        <v>0</v>
      </c>
      <c r="J155" s="16">
        <f>IF(COUNTIF(W$3:W$5, G155) &gt; 0, 0, 1)</f>
        <v>0</v>
      </c>
      <c r="K155" s="17" t="s">
        <v>53</v>
      </c>
      <c r="L155" s="16" t="s">
        <v>21</v>
      </c>
      <c r="M155" s="13"/>
      <c r="N155" s="18"/>
      <c r="O155" s="18"/>
      <c r="P155" s="18"/>
      <c r="Q155" s="15"/>
      <c r="R155" s="15"/>
      <c r="S155" s="19"/>
    </row>
    <row r="156" spans="1:19" x14ac:dyDescent="0.35">
      <c r="A156" s="20">
        <v>408</v>
      </c>
      <c r="B156" s="22" t="s">
        <v>106</v>
      </c>
      <c r="C156" s="22" t="s">
        <v>106</v>
      </c>
      <c r="D156" s="22" t="s">
        <v>106</v>
      </c>
      <c r="E156" t="s">
        <v>72</v>
      </c>
      <c r="F156" s="14">
        <v>15</v>
      </c>
      <c r="G156" s="15" t="s">
        <v>26</v>
      </c>
      <c r="H156" s="16">
        <f>INDEX(X:X, MATCH(G156, W:W, 0))*F156</f>
        <v>7.5</v>
      </c>
      <c r="I156" s="16">
        <f>IF(COUNTIF($W$3:$W$6, G156) &gt; 0, 0, 1)</f>
        <v>0</v>
      </c>
      <c r="J156" s="16">
        <f>IF(COUNTIF(W$3:W$5, G156) &gt; 0, 0, 1)</f>
        <v>0</v>
      </c>
      <c r="K156" s="17"/>
      <c r="L156" s="16" t="s">
        <v>20</v>
      </c>
      <c r="M156" s="13"/>
      <c r="N156" s="18"/>
      <c r="O156" s="18"/>
      <c r="P156" s="18"/>
      <c r="Q156" s="15"/>
      <c r="R156" s="15"/>
      <c r="S156" s="19"/>
    </row>
    <row r="157" spans="1:19" x14ac:dyDescent="0.35">
      <c r="A157" s="20">
        <v>438</v>
      </c>
      <c r="B157" s="22" t="s">
        <v>106</v>
      </c>
      <c r="C157" s="22" t="s">
        <v>106</v>
      </c>
      <c r="D157" s="22" t="s">
        <v>106</v>
      </c>
      <c r="E157" t="s">
        <v>72</v>
      </c>
      <c r="F157" s="14">
        <v>10</v>
      </c>
      <c r="G157" s="15" t="s">
        <v>26</v>
      </c>
      <c r="H157" s="16">
        <f>INDEX(X:X, MATCH(G157, W:W, 0))*F157</f>
        <v>5</v>
      </c>
      <c r="I157" s="16">
        <f>IF(COUNTIF($W$3:$W$6, G157) &gt; 0, 0, 1)</f>
        <v>0</v>
      </c>
      <c r="J157" s="16">
        <f>IF(COUNTIF(W$3:W$5, G157) &gt; 0, 0, 1)</f>
        <v>0</v>
      </c>
      <c r="K157" s="17" t="s">
        <v>66</v>
      </c>
      <c r="L157" s="16" t="s">
        <v>20</v>
      </c>
      <c r="M157" s="13"/>
      <c r="N157" s="18"/>
      <c r="O157" s="18"/>
      <c r="P157" s="18"/>
      <c r="Q157" s="15"/>
      <c r="R157" s="15"/>
      <c r="S157" s="19"/>
    </row>
    <row r="158" spans="1:19" x14ac:dyDescent="0.35">
      <c r="A158" s="20">
        <v>487</v>
      </c>
      <c r="B158" s="22" t="s">
        <v>106</v>
      </c>
      <c r="C158" s="22" t="s">
        <v>106</v>
      </c>
      <c r="D158" s="22" t="s">
        <v>106</v>
      </c>
      <c r="E158" t="s">
        <v>72</v>
      </c>
      <c r="F158" s="14">
        <v>50</v>
      </c>
      <c r="G158" s="15" t="s">
        <v>26</v>
      </c>
      <c r="H158" s="16">
        <f>INDEX(X:X, MATCH(G158, W:W, 0))*F158</f>
        <v>25</v>
      </c>
      <c r="I158" s="16">
        <f>IF(COUNTIF($W$3:$W$6, G158) &gt; 0, 0, 1)</f>
        <v>0</v>
      </c>
      <c r="J158" s="16">
        <f>IF(COUNTIF(W$3:W$5, G158) &gt; 0, 0, 1)</f>
        <v>0</v>
      </c>
      <c r="K158" s="17"/>
      <c r="L158" s="16" t="s">
        <v>20</v>
      </c>
      <c r="M158" s="13"/>
      <c r="N158" s="18"/>
      <c r="O158" s="18"/>
      <c r="P158" s="18"/>
      <c r="Q158" s="15"/>
      <c r="R158" s="15"/>
      <c r="S158" s="19"/>
    </row>
    <row r="159" spans="1:19" x14ac:dyDescent="0.35">
      <c r="A159" s="20">
        <v>657</v>
      </c>
      <c r="B159" s="22" t="s">
        <v>106</v>
      </c>
      <c r="C159" s="22" t="s">
        <v>106</v>
      </c>
      <c r="D159" s="22" t="s">
        <v>106</v>
      </c>
      <c r="E159" t="s">
        <v>72</v>
      </c>
      <c r="F159" s="14">
        <v>10</v>
      </c>
      <c r="G159" s="15" t="s">
        <v>26</v>
      </c>
      <c r="H159" s="16">
        <f>INDEX(X:X, MATCH(G159, W:W, 0))*F159</f>
        <v>5</v>
      </c>
      <c r="I159" s="16">
        <f>IF(COUNTIF($W$3:$W$6, G159) &gt; 0, 0, 1)</f>
        <v>0</v>
      </c>
      <c r="J159" s="16">
        <f>IF(COUNTIF(W$3:W$5, G159) &gt; 0, 0, 1)</f>
        <v>0</v>
      </c>
      <c r="K159" s="17" t="s">
        <v>66</v>
      </c>
      <c r="L159" s="16" t="s">
        <v>20</v>
      </c>
      <c r="M159" s="13"/>
      <c r="N159" s="18"/>
      <c r="O159" s="18"/>
      <c r="P159" s="18"/>
      <c r="Q159" s="15"/>
      <c r="R159" s="15"/>
      <c r="S159" s="19"/>
    </row>
    <row r="160" spans="1:19" x14ac:dyDescent="0.35">
      <c r="A160" s="20">
        <v>655</v>
      </c>
      <c r="B160" t="s">
        <v>105</v>
      </c>
      <c r="C160" t="s">
        <v>105</v>
      </c>
      <c r="D160" t="s">
        <v>105</v>
      </c>
      <c r="E160" t="s">
        <v>72</v>
      </c>
      <c r="F160" s="14">
        <v>5</v>
      </c>
      <c r="G160" s="15" t="s">
        <v>26</v>
      </c>
      <c r="H160" s="16">
        <f>INDEX(X:X, MATCH(G160, W:W, 0))*F160</f>
        <v>2.5</v>
      </c>
      <c r="I160" s="16">
        <f>IF(COUNTIF($W$3:$W$6, G160) &gt; 0, 0, 1)</f>
        <v>0</v>
      </c>
      <c r="J160" s="16">
        <f>IF(COUNTIF(W$3:W$5, G160) &gt; 0, 0, 1)</f>
        <v>0</v>
      </c>
      <c r="K160" s="17" t="s">
        <v>86</v>
      </c>
      <c r="L160" s="16" t="s">
        <v>21</v>
      </c>
      <c r="M160" s="13"/>
      <c r="N160" s="18"/>
      <c r="O160" s="18"/>
      <c r="P160" s="18"/>
      <c r="Q160" s="15"/>
      <c r="R160" s="15"/>
      <c r="S160" s="19"/>
    </row>
    <row r="161" spans="1:19" x14ac:dyDescent="0.35">
      <c r="A161" s="20">
        <v>434</v>
      </c>
      <c r="B161" s="22" t="s">
        <v>106</v>
      </c>
      <c r="C161" t="s">
        <v>105</v>
      </c>
      <c r="D161" t="s">
        <v>105</v>
      </c>
      <c r="E161" t="s">
        <v>63</v>
      </c>
      <c r="F161" s="14">
        <v>10</v>
      </c>
      <c r="G161" s="15" t="s">
        <v>23</v>
      </c>
      <c r="H161" s="16">
        <f>INDEX(X:X, MATCH(G161, W:W, 0))*F161</f>
        <v>7.5</v>
      </c>
      <c r="I161" s="16">
        <f>IF(COUNTIF($W$3:$W$6, G161) &gt; 0, 0, 1)</f>
        <v>0</v>
      </c>
      <c r="J161" s="16">
        <f>IF(COUNTIF(W$3:W$5, G161) &gt; 0, 0, 1)</f>
        <v>1</v>
      </c>
      <c r="K161" s="17" t="s">
        <v>101</v>
      </c>
      <c r="L161" s="16" t="s">
        <v>21</v>
      </c>
      <c r="M161" s="13"/>
      <c r="N161" s="18"/>
      <c r="O161" s="18"/>
      <c r="P161" s="18"/>
      <c r="Q161" s="15"/>
      <c r="R161" s="15"/>
      <c r="S161" s="19"/>
    </row>
    <row r="162" spans="1:19" x14ac:dyDescent="0.35">
      <c r="A162" s="20">
        <v>162</v>
      </c>
      <c r="B162" t="s">
        <v>105</v>
      </c>
      <c r="C162" s="22" t="s">
        <v>106</v>
      </c>
      <c r="D162" t="s">
        <v>105</v>
      </c>
      <c r="E162" t="s">
        <v>63</v>
      </c>
      <c r="F162" s="14">
        <v>50</v>
      </c>
      <c r="G162" s="15" t="s">
        <v>23</v>
      </c>
      <c r="H162" s="16">
        <f>INDEX(X:X, MATCH(G162, W:W, 0))*F162</f>
        <v>37.5</v>
      </c>
      <c r="I162" s="16">
        <f>IF(COUNTIF($W$3:$W$6, G162) &gt; 0, 0, 1)</f>
        <v>0</v>
      </c>
      <c r="J162" s="16">
        <f>IF(COUNTIF(W$3:W$5, G162) &gt; 0, 0, 1)</f>
        <v>1</v>
      </c>
      <c r="K162" s="17"/>
      <c r="L162" s="16" t="s">
        <v>20</v>
      </c>
      <c r="M162" s="13"/>
      <c r="N162" s="18"/>
      <c r="O162" s="18"/>
      <c r="P162" s="18"/>
      <c r="Q162" s="15"/>
      <c r="R162" s="15"/>
      <c r="S162" s="19"/>
    </row>
    <row r="163" spans="1:19" x14ac:dyDescent="0.35">
      <c r="A163" s="20">
        <v>206</v>
      </c>
      <c r="B163" t="s">
        <v>105</v>
      </c>
      <c r="C163" s="22" t="s">
        <v>106</v>
      </c>
      <c r="D163" t="s">
        <v>105</v>
      </c>
      <c r="E163" t="s">
        <v>63</v>
      </c>
      <c r="F163" s="14">
        <v>5</v>
      </c>
      <c r="G163" s="15" t="s">
        <v>23</v>
      </c>
      <c r="H163" s="16">
        <f>INDEX(X:X, MATCH(G163, W:W, 0))*F163</f>
        <v>3.75</v>
      </c>
      <c r="I163" s="16">
        <f>IF(COUNTIF($W$3:$W$6, G163) &gt; 0, 0, 1)</f>
        <v>0</v>
      </c>
      <c r="J163" s="16">
        <f>IF(COUNTIF(W$3:W$5, G163) &gt; 0, 0, 1)</f>
        <v>1</v>
      </c>
      <c r="K163" s="17" t="s">
        <v>25</v>
      </c>
      <c r="L163" s="16" t="s">
        <v>21</v>
      </c>
      <c r="M163" s="13"/>
      <c r="N163" s="18"/>
      <c r="O163" s="18"/>
      <c r="P163" s="18"/>
      <c r="Q163" s="15"/>
      <c r="R163" s="15"/>
      <c r="S163" s="19"/>
    </row>
    <row r="164" spans="1:19" x14ac:dyDescent="0.35">
      <c r="A164" s="20">
        <v>507</v>
      </c>
      <c r="B164" t="s">
        <v>105</v>
      </c>
      <c r="C164" s="22" t="s">
        <v>106</v>
      </c>
      <c r="D164" t="s">
        <v>105</v>
      </c>
      <c r="E164" t="s">
        <v>63</v>
      </c>
      <c r="F164" s="14">
        <v>60</v>
      </c>
      <c r="G164" s="15" t="s">
        <v>23</v>
      </c>
      <c r="H164" s="16">
        <f>INDEX(X:X, MATCH(G164, W:W, 0))*F164</f>
        <v>45</v>
      </c>
      <c r="I164" s="16">
        <f>IF(COUNTIF($W$3:$W$6, G164) &gt; 0, 0, 1)</f>
        <v>0</v>
      </c>
      <c r="J164" s="16">
        <f>IF(COUNTIF(W$3:W$5, G164) &gt; 0, 0, 1)</f>
        <v>1</v>
      </c>
      <c r="K164" s="17"/>
      <c r="L164" s="16" t="s">
        <v>21</v>
      </c>
      <c r="M164" s="13"/>
      <c r="N164" s="18"/>
      <c r="O164" s="18"/>
      <c r="P164" s="18"/>
      <c r="Q164" s="15"/>
      <c r="R164" s="15"/>
      <c r="S164" s="19"/>
    </row>
    <row r="165" spans="1:19" x14ac:dyDescent="0.35">
      <c r="A165" s="20">
        <v>638</v>
      </c>
      <c r="B165" t="s">
        <v>105</v>
      </c>
      <c r="C165" s="22" t="s">
        <v>106</v>
      </c>
      <c r="D165" t="s">
        <v>105</v>
      </c>
      <c r="E165" t="s">
        <v>63</v>
      </c>
      <c r="F165" s="14">
        <v>15</v>
      </c>
      <c r="G165" s="15" t="s">
        <v>23</v>
      </c>
      <c r="H165" s="16">
        <f>INDEX(X:X, MATCH(G165, W:W, 0))*F165</f>
        <v>11.25</v>
      </c>
      <c r="I165" s="16">
        <f>IF(COUNTIF($W$3:$W$6, G165) &gt; 0, 0, 1)</f>
        <v>0</v>
      </c>
      <c r="J165" s="16">
        <f>IF(COUNTIF(W$3:W$5, G165) &gt; 0, 0, 1)</f>
        <v>1</v>
      </c>
      <c r="K165" s="17"/>
      <c r="L165" s="16" t="s">
        <v>20</v>
      </c>
      <c r="M165" s="13"/>
      <c r="N165" s="18"/>
      <c r="O165" s="18"/>
      <c r="P165" s="18"/>
      <c r="Q165" s="15"/>
      <c r="R165" s="15"/>
      <c r="S165" s="19"/>
    </row>
    <row r="166" spans="1:19" x14ac:dyDescent="0.35">
      <c r="A166" s="20">
        <v>433</v>
      </c>
      <c r="B166" s="22" t="s">
        <v>106</v>
      </c>
      <c r="C166" s="22" t="s">
        <v>106</v>
      </c>
      <c r="D166" t="s">
        <v>105</v>
      </c>
      <c r="E166" t="s">
        <v>63</v>
      </c>
      <c r="F166" s="14">
        <v>10</v>
      </c>
      <c r="G166" s="15" t="s">
        <v>23</v>
      </c>
      <c r="H166" s="16">
        <f>INDEX(X:X, MATCH(G166, W:W, 0))*F166</f>
        <v>7.5</v>
      </c>
      <c r="I166" s="16">
        <f>IF(COUNTIF($W$3:$W$6, G166) &gt; 0, 0, 1)</f>
        <v>0</v>
      </c>
      <c r="J166" s="16">
        <f>IF(COUNTIF(W$3:W$5, G166) &gt; 0, 0, 1)</f>
        <v>1</v>
      </c>
      <c r="K166" s="17" t="s">
        <v>25</v>
      </c>
      <c r="L166" s="16" t="s">
        <v>21</v>
      </c>
      <c r="M166" s="13"/>
      <c r="N166" s="18"/>
      <c r="O166" s="18"/>
      <c r="P166" s="18"/>
      <c r="Q166" s="15"/>
      <c r="R166" s="15"/>
      <c r="S166" s="19"/>
    </row>
    <row r="167" spans="1:19" x14ac:dyDescent="0.35">
      <c r="A167" s="20">
        <v>744</v>
      </c>
      <c r="B167" s="22" t="s">
        <v>106</v>
      </c>
      <c r="C167" s="22" t="s">
        <v>106</v>
      </c>
      <c r="D167" t="s">
        <v>105</v>
      </c>
      <c r="E167" t="s">
        <v>63</v>
      </c>
      <c r="F167" s="14">
        <v>25</v>
      </c>
      <c r="G167" s="15" t="s">
        <v>23</v>
      </c>
      <c r="H167" s="16">
        <f>INDEX(X:X, MATCH(G167, W:W, 0))*F167</f>
        <v>18.75</v>
      </c>
      <c r="I167" s="16">
        <f>IF(COUNTIF($W$3:$W$6, G167) &gt; 0, 0, 1)</f>
        <v>0</v>
      </c>
      <c r="J167" s="16">
        <f>IF(COUNTIF(W$3:W$5, G167) &gt; 0, 0, 1)</f>
        <v>1</v>
      </c>
      <c r="K167" s="17"/>
      <c r="L167" s="16" t="s">
        <v>21</v>
      </c>
      <c r="M167" s="13"/>
      <c r="N167" s="18"/>
      <c r="O167" s="18"/>
      <c r="P167" s="18"/>
      <c r="Q167" s="15"/>
      <c r="R167" s="15"/>
      <c r="S167" s="19"/>
    </row>
    <row r="168" spans="1:19" x14ac:dyDescent="0.35">
      <c r="A168" s="20">
        <v>53</v>
      </c>
      <c r="B168" s="22" t="s">
        <v>106</v>
      </c>
      <c r="C168" s="22" t="s">
        <v>106</v>
      </c>
      <c r="D168" t="s">
        <v>105</v>
      </c>
      <c r="E168" t="s">
        <v>72</v>
      </c>
      <c r="F168" s="14">
        <v>10</v>
      </c>
      <c r="G168" s="15" t="s">
        <v>23</v>
      </c>
      <c r="H168" s="16">
        <f>INDEX(X:X, MATCH(G168, W:W, 0))*F168</f>
        <v>7.5</v>
      </c>
      <c r="I168" s="16">
        <f>IF(COUNTIF($W$3:$W$6, G168) &gt; 0, 0, 1)</f>
        <v>0</v>
      </c>
      <c r="J168" s="16">
        <f>IF(COUNTIF(W$3:W$5, G168) &gt; 0, 0, 1)</f>
        <v>1</v>
      </c>
      <c r="K168" s="17" t="s">
        <v>30</v>
      </c>
      <c r="L168" s="16" t="s">
        <v>21</v>
      </c>
      <c r="M168" s="13"/>
      <c r="N168" s="18"/>
      <c r="O168" s="18"/>
      <c r="P168" s="18"/>
      <c r="Q168" s="15"/>
      <c r="R168" s="15"/>
      <c r="S168" s="19"/>
    </row>
    <row r="169" spans="1:19" x14ac:dyDescent="0.35">
      <c r="A169" s="20">
        <v>263</v>
      </c>
      <c r="B169" t="s">
        <v>105</v>
      </c>
      <c r="C169" s="22" t="s">
        <v>106</v>
      </c>
      <c r="D169" t="s">
        <v>105</v>
      </c>
      <c r="E169" t="s">
        <v>72</v>
      </c>
      <c r="F169" s="14">
        <v>5</v>
      </c>
      <c r="G169" s="15" t="s">
        <v>23</v>
      </c>
      <c r="H169" s="16">
        <f>INDEX(X:X, MATCH(G169, W:W, 0))*F169</f>
        <v>3.75</v>
      </c>
      <c r="I169" s="16">
        <f>IF(COUNTIF($W$3:$W$6, G169) &gt; 0, 0, 1)</f>
        <v>0</v>
      </c>
      <c r="J169" s="16">
        <f>IF(COUNTIF(W$3:W$5, G169) &gt; 0, 0, 1)</f>
        <v>1</v>
      </c>
      <c r="K169" s="17" t="s">
        <v>41</v>
      </c>
      <c r="L169" s="16" t="s">
        <v>21</v>
      </c>
      <c r="M169" s="13"/>
      <c r="N169" s="18"/>
      <c r="O169" s="18"/>
      <c r="P169" s="18"/>
      <c r="Q169" s="15"/>
      <c r="R169" s="15"/>
      <c r="S169" s="19"/>
    </row>
    <row r="170" spans="1:19" x14ac:dyDescent="0.35">
      <c r="A170" s="20">
        <v>209</v>
      </c>
      <c r="B170" s="22" t="s">
        <v>106</v>
      </c>
      <c r="C170" s="22" t="s">
        <v>106</v>
      </c>
      <c r="D170" t="s">
        <v>105</v>
      </c>
      <c r="E170" t="s">
        <v>72</v>
      </c>
      <c r="F170" s="14">
        <v>15</v>
      </c>
      <c r="G170" s="15" t="s">
        <v>23</v>
      </c>
      <c r="H170" s="16">
        <f>INDEX(X:X, MATCH(G170, W:W, 0))*F170</f>
        <v>11.25</v>
      </c>
      <c r="I170" s="16">
        <f>IF(COUNTIF($W$3:$W$6, G170) &gt; 0, 0, 1)</f>
        <v>0</v>
      </c>
      <c r="J170" s="16">
        <f>IF(COUNTIF(W$3:W$5, G170) &gt; 0, 0, 1)</f>
        <v>1</v>
      </c>
      <c r="K170" s="17"/>
      <c r="L170" s="16" t="s">
        <v>20</v>
      </c>
      <c r="M170" s="13"/>
      <c r="N170" s="18"/>
      <c r="O170" s="18"/>
      <c r="P170" s="18"/>
      <c r="Q170" s="15"/>
      <c r="R170" s="15"/>
      <c r="S170" s="19"/>
    </row>
    <row r="171" spans="1:19" x14ac:dyDescent="0.35">
      <c r="A171" s="20">
        <v>334</v>
      </c>
      <c r="B171" s="22" t="s">
        <v>106</v>
      </c>
      <c r="C171" s="22" t="s">
        <v>106</v>
      </c>
      <c r="D171" t="s">
        <v>105</v>
      </c>
      <c r="E171" t="s">
        <v>72</v>
      </c>
      <c r="F171" s="14">
        <v>10</v>
      </c>
      <c r="G171" s="15" t="s">
        <v>23</v>
      </c>
      <c r="H171" s="16">
        <f>INDEX(X:X, MATCH(G171, W:W, 0))*F171</f>
        <v>7.5</v>
      </c>
      <c r="I171" s="16">
        <f>IF(COUNTIF($W$3:$W$6, G171) &gt; 0, 0, 1)</f>
        <v>0</v>
      </c>
      <c r="J171" s="16">
        <f>IF(COUNTIF(W$3:W$5, G171) &gt; 0, 0, 1)</f>
        <v>1</v>
      </c>
      <c r="K171" s="17"/>
      <c r="L171" s="16" t="s">
        <v>20</v>
      </c>
      <c r="M171" s="13"/>
      <c r="N171" s="18"/>
      <c r="O171" s="18"/>
      <c r="P171" s="18"/>
      <c r="Q171" s="15"/>
      <c r="R171" s="15"/>
      <c r="S171" s="19"/>
    </row>
    <row r="172" spans="1:19" x14ac:dyDescent="0.35">
      <c r="A172" s="20">
        <v>265</v>
      </c>
      <c r="B172" s="22" t="s">
        <v>106</v>
      </c>
      <c r="C172" s="22" t="s">
        <v>106</v>
      </c>
      <c r="D172" t="s">
        <v>105</v>
      </c>
      <c r="E172" t="s">
        <v>80</v>
      </c>
      <c r="F172" s="14">
        <v>15</v>
      </c>
      <c r="G172" s="15" t="s">
        <v>23</v>
      </c>
      <c r="H172" s="16">
        <f>INDEX(X:X, MATCH(G172, W:W, 0))*F172</f>
        <v>11.25</v>
      </c>
      <c r="I172" s="16">
        <f>IF(COUNTIF($W$3:$W$6, G172) &gt; 0, 0, 1)</f>
        <v>0</v>
      </c>
      <c r="J172" s="16">
        <f>IF(COUNTIF(W$3:W$5, G172) &gt; 0, 0, 1)</f>
        <v>1</v>
      </c>
      <c r="K172" s="17" t="s">
        <v>67</v>
      </c>
      <c r="L172" s="16" t="s">
        <v>21</v>
      </c>
      <c r="M172" s="13"/>
      <c r="N172" s="18"/>
      <c r="O172" s="18"/>
      <c r="P172" s="18"/>
      <c r="Q172" s="15"/>
      <c r="R172" s="15"/>
      <c r="S172" s="19"/>
    </row>
    <row r="173" spans="1:19" x14ac:dyDescent="0.35">
      <c r="A173" s="20">
        <v>205</v>
      </c>
      <c r="B173" t="s">
        <v>61</v>
      </c>
      <c r="C173" t="s">
        <v>61</v>
      </c>
      <c r="D173" t="s">
        <v>61</v>
      </c>
      <c r="E173" t="s">
        <v>61</v>
      </c>
      <c r="F173" s="14" t="s">
        <v>61</v>
      </c>
      <c r="G173" s="15" t="s">
        <v>61</v>
      </c>
      <c r="H173" s="16" t="e">
        <f>INDEX(X:X, MATCH(G173, W:W, 0))*F173</f>
        <v>#N/A</v>
      </c>
      <c r="I173" s="16">
        <f>IF(COUNTIF($W$3:$W$6, G173) &gt; 0, 0, 1)</f>
        <v>1</v>
      </c>
      <c r="J173" s="16">
        <f>IF(COUNTIF(W$3:W$5, G173) &gt; 0, 0, 1)</f>
        <v>1</v>
      </c>
      <c r="K173" s="17" t="s">
        <v>87</v>
      </c>
      <c r="L173" s="16" t="s">
        <v>20</v>
      </c>
      <c r="M173" s="13"/>
      <c r="N173" s="18"/>
      <c r="O173" s="18"/>
      <c r="P173" s="18"/>
      <c r="Q173" s="15"/>
      <c r="R173" s="15"/>
      <c r="S173" s="19"/>
    </row>
    <row r="174" spans="1:19" x14ac:dyDescent="0.35">
      <c r="A174" s="20">
        <v>611</v>
      </c>
      <c r="B174" t="s">
        <v>61</v>
      </c>
      <c r="C174" t="s">
        <v>61</v>
      </c>
      <c r="D174" t="s">
        <v>61</v>
      </c>
      <c r="E174" t="s">
        <v>61</v>
      </c>
      <c r="F174" s="14" t="s">
        <v>61</v>
      </c>
      <c r="G174" s="15" t="s">
        <v>61</v>
      </c>
      <c r="H174" s="16" t="e">
        <f>INDEX(X:X, MATCH(G174, W:W, 0))*F174</f>
        <v>#N/A</v>
      </c>
      <c r="I174" s="16">
        <f>IF(COUNTIF($W$3:$W$6, G174) &gt; 0, 0, 1)</f>
        <v>1</v>
      </c>
      <c r="J174" s="16">
        <f>IF(COUNTIF(W$3:W$5, G174) &gt; 0, 0, 1)</f>
        <v>1</v>
      </c>
      <c r="K174" s="17" t="s">
        <v>60</v>
      </c>
      <c r="L174" s="16" t="s">
        <v>20</v>
      </c>
      <c r="M174" s="13"/>
      <c r="N174" s="18"/>
      <c r="O174" s="18"/>
      <c r="P174" s="18"/>
      <c r="Q174" s="15"/>
      <c r="R174" s="15"/>
      <c r="S174" s="19"/>
    </row>
    <row r="175" spans="1:19" x14ac:dyDescent="0.35">
      <c r="A175" s="20">
        <v>505</v>
      </c>
      <c r="B175" t="s">
        <v>105</v>
      </c>
      <c r="C175" t="s">
        <v>105</v>
      </c>
      <c r="D175" t="s">
        <v>105</v>
      </c>
      <c r="E175" t="s">
        <v>105</v>
      </c>
      <c r="F175" s="14">
        <v>5</v>
      </c>
      <c r="G175" s="15" t="s">
        <v>27</v>
      </c>
      <c r="H175" s="16">
        <f>INDEX(X:X, MATCH(G175, W:W, 0))*F175</f>
        <v>1.25</v>
      </c>
      <c r="I175" s="16">
        <f>IF(COUNTIF($W$3:$W$6, G175) &gt; 0, 0, 1)</f>
        <v>0</v>
      </c>
      <c r="J175" s="16">
        <f>IF(COUNTIF(W$3:W$5, G175) &gt; 0, 0, 1)</f>
        <v>0</v>
      </c>
      <c r="K175" s="17"/>
      <c r="L175" s="16" t="s">
        <v>21</v>
      </c>
      <c r="M175" s="13"/>
      <c r="N175" s="18"/>
      <c r="O175" s="18"/>
      <c r="P175" s="18"/>
      <c r="Q175" s="15"/>
      <c r="R175" s="15"/>
      <c r="S175" s="19"/>
    </row>
    <row r="176" spans="1:19" x14ac:dyDescent="0.35">
      <c r="A176" s="20">
        <v>14</v>
      </c>
      <c r="B176" s="22" t="s">
        <v>106</v>
      </c>
      <c r="C176" t="s">
        <v>105</v>
      </c>
      <c r="D176" t="s">
        <v>105</v>
      </c>
      <c r="E176" t="s">
        <v>105</v>
      </c>
      <c r="F176" s="14">
        <v>5</v>
      </c>
      <c r="G176" s="15" t="s">
        <v>27</v>
      </c>
      <c r="H176" s="16">
        <f>INDEX(X:X, MATCH(G176, W:W, 0))*F176</f>
        <v>1.25</v>
      </c>
      <c r="I176" s="16">
        <f>IF(COUNTIF($W$3:$W$6, G176) &gt; 0, 0, 1)</f>
        <v>0</v>
      </c>
      <c r="J176" s="16">
        <f>IF(COUNTIF(W$3:W$5, G176) &gt; 0, 0, 1)</f>
        <v>0</v>
      </c>
      <c r="K176" s="17"/>
      <c r="L176" s="16" t="s">
        <v>20</v>
      </c>
      <c r="M176" s="13"/>
      <c r="N176" s="18"/>
      <c r="O176" s="18"/>
      <c r="P176" s="18"/>
      <c r="Q176" s="15"/>
      <c r="R176" s="15"/>
      <c r="S176" s="19"/>
    </row>
    <row r="177" spans="1:19" x14ac:dyDescent="0.35">
      <c r="A177" s="20">
        <v>36</v>
      </c>
      <c r="B177" s="22" t="s">
        <v>106</v>
      </c>
      <c r="C177" t="s">
        <v>105</v>
      </c>
      <c r="D177" t="s">
        <v>105</v>
      </c>
      <c r="E177" t="s">
        <v>105</v>
      </c>
      <c r="F177" s="14">
        <v>5</v>
      </c>
      <c r="G177" s="15" t="s">
        <v>27</v>
      </c>
      <c r="H177" s="16">
        <f>INDEX(X:X, MATCH(G177, W:W, 0))*F177</f>
        <v>1.25</v>
      </c>
      <c r="I177" s="16">
        <f>IF(COUNTIF($W$3:$W$6, G177) &gt; 0, 0, 1)</f>
        <v>0</v>
      </c>
      <c r="J177" s="16">
        <f>IF(COUNTIF(W$3:W$5, G177) &gt; 0, 0, 1)</f>
        <v>0</v>
      </c>
      <c r="K177" s="17"/>
      <c r="L177" s="16" t="s">
        <v>20</v>
      </c>
      <c r="M177" s="13"/>
      <c r="N177" s="18"/>
      <c r="O177" s="18"/>
      <c r="P177" s="18"/>
      <c r="Q177" s="15"/>
      <c r="R177" s="15"/>
      <c r="S177" s="19"/>
    </row>
    <row r="178" spans="1:19" x14ac:dyDescent="0.35">
      <c r="A178" s="20">
        <v>40</v>
      </c>
      <c r="B178" s="22" t="s">
        <v>106</v>
      </c>
      <c r="C178" t="s">
        <v>105</v>
      </c>
      <c r="D178" t="s">
        <v>105</v>
      </c>
      <c r="E178" t="s">
        <v>105</v>
      </c>
      <c r="F178" s="14">
        <v>5</v>
      </c>
      <c r="G178" s="15" t="s">
        <v>27</v>
      </c>
      <c r="H178" s="16">
        <f>INDEX(X:X, MATCH(G178, W:W, 0))*F178</f>
        <v>1.25</v>
      </c>
      <c r="I178" s="16">
        <f>IF(COUNTIF($W$3:$W$6, G178) &gt; 0, 0, 1)</f>
        <v>0</v>
      </c>
      <c r="J178" s="16">
        <f>IF(COUNTIF(W$3:W$5, G178) &gt; 0, 0, 1)</f>
        <v>0</v>
      </c>
      <c r="K178" s="17"/>
      <c r="L178" s="16" t="s">
        <v>21</v>
      </c>
      <c r="M178" s="13"/>
      <c r="N178" s="18"/>
      <c r="O178" s="18"/>
      <c r="P178" s="18"/>
      <c r="Q178" s="15"/>
      <c r="R178" s="15"/>
      <c r="S178" s="19"/>
    </row>
    <row r="179" spans="1:19" x14ac:dyDescent="0.35">
      <c r="A179" s="20">
        <v>54</v>
      </c>
      <c r="B179" s="22" t="s">
        <v>106</v>
      </c>
      <c r="C179" t="s">
        <v>105</v>
      </c>
      <c r="D179" t="s">
        <v>105</v>
      </c>
      <c r="E179" t="s">
        <v>105</v>
      </c>
      <c r="F179" s="14">
        <v>5</v>
      </c>
      <c r="G179" s="15" t="s">
        <v>27</v>
      </c>
      <c r="H179" s="16">
        <f>INDEX(X:X, MATCH(G179, W:W, 0))*F179</f>
        <v>1.25</v>
      </c>
      <c r="I179" s="16">
        <f>IF(COUNTIF($W$3:$W$6, G179) &gt; 0, 0, 1)</f>
        <v>0</v>
      </c>
      <c r="J179" s="16">
        <f>IF(COUNTIF(W$3:W$5, G179) &gt; 0, 0, 1)</f>
        <v>0</v>
      </c>
      <c r="K179" s="17"/>
      <c r="L179" s="16" t="s">
        <v>21</v>
      </c>
      <c r="M179" s="13"/>
      <c r="N179" s="18"/>
      <c r="O179" s="18"/>
      <c r="P179" s="18"/>
      <c r="Q179" s="15"/>
      <c r="R179" s="15"/>
      <c r="S179" s="19"/>
    </row>
    <row r="180" spans="1:19" x14ac:dyDescent="0.35">
      <c r="A180" s="20">
        <v>55</v>
      </c>
      <c r="B180" s="22" t="s">
        <v>106</v>
      </c>
      <c r="C180" t="s">
        <v>105</v>
      </c>
      <c r="D180" t="s">
        <v>105</v>
      </c>
      <c r="E180" t="s">
        <v>105</v>
      </c>
      <c r="F180" s="14">
        <v>5</v>
      </c>
      <c r="G180" s="15" t="s">
        <v>27</v>
      </c>
      <c r="H180" s="16">
        <f>INDEX(X:X, MATCH(G180, W:W, 0))*F180</f>
        <v>1.25</v>
      </c>
      <c r="I180" s="16">
        <f>IF(COUNTIF($W$3:$W$6, G180) &gt; 0, 0, 1)</f>
        <v>0</v>
      </c>
      <c r="J180" s="16">
        <f>IF(COUNTIF(W$3:W$5, G180) &gt; 0, 0, 1)</f>
        <v>0</v>
      </c>
      <c r="K180" s="17"/>
      <c r="L180" s="16" t="s">
        <v>21</v>
      </c>
      <c r="M180" s="13"/>
      <c r="N180" s="18"/>
      <c r="O180" s="18"/>
      <c r="P180" s="18"/>
      <c r="Q180" s="15"/>
      <c r="R180" s="15"/>
      <c r="S180" s="19"/>
    </row>
    <row r="181" spans="1:19" x14ac:dyDescent="0.35">
      <c r="A181" s="20">
        <v>65</v>
      </c>
      <c r="B181" s="22" t="s">
        <v>106</v>
      </c>
      <c r="C181" t="s">
        <v>105</v>
      </c>
      <c r="D181" t="s">
        <v>105</v>
      </c>
      <c r="E181" t="s">
        <v>105</v>
      </c>
      <c r="F181" s="14">
        <v>5</v>
      </c>
      <c r="G181" s="15" t="s">
        <v>27</v>
      </c>
      <c r="H181" s="16">
        <f>INDEX(X:X, MATCH(G181, W:W, 0))*F181</f>
        <v>1.25</v>
      </c>
      <c r="I181" s="16">
        <f>IF(COUNTIF($W$3:$W$6, G181) &gt; 0, 0, 1)</f>
        <v>0</v>
      </c>
      <c r="J181" s="16">
        <f>IF(COUNTIF(W$3:W$5, G181) &gt; 0, 0, 1)</f>
        <v>0</v>
      </c>
      <c r="K181" s="17"/>
      <c r="L181" s="16" t="s">
        <v>21</v>
      </c>
      <c r="M181" s="13"/>
      <c r="N181" s="18"/>
      <c r="O181" s="18"/>
      <c r="P181" s="18"/>
      <c r="Q181" s="15"/>
      <c r="R181" s="15"/>
      <c r="S181" s="19"/>
    </row>
    <row r="182" spans="1:19" x14ac:dyDescent="0.35">
      <c r="A182" s="20">
        <v>90</v>
      </c>
      <c r="B182" s="22" t="s">
        <v>106</v>
      </c>
      <c r="C182" t="s">
        <v>105</v>
      </c>
      <c r="D182" t="s">
        <v>105</v>
      </c>
      <c r="E182" t="s">
        <v>105</v>
      </c>
      <c r="F182" s="14">
        <v>5</v>
      </c>
      <c r="G182" s="15" t="s">
        <v>27</v>
      </c>
      <c r="H182" s="16">
        <f>INDEX(X:X, MATCH(G182, W:W, 0))*F182</f>
        <v>1.25</v>
      </c>
      <c r="I182" s="16">
        <f>IF(COUNTIF($W$3:$W$6, G182) &gt; 0, 0, 1)</f>
        <v>0</v>
      </c>
      <c r="J182" s="16">
        <f>IF(COUNTIF(W$3:W$5, G182) &gt; 0, 0, 1)</f>
        <v>0</v>
      </c>
      <c r="K182" s="17"/>
      <c r="L182" s="16" t="s">
        <v>21</v>
      </c>
      <c r="M182" s="13"/>
      <c r="N182" s="18"/>
      <c r="O182" s="18"/>
      <c r="P182" s="18"/>
      <c r="Q182" s="15"/>
      <c r="R182" s="15"/>
      <c r="S182" s="19"/>
    </row>
    <row r="183" spans="1:19" x14ac:dyDescent="0.35">
      <c r="A183" s="20">
        <v>128</v>
      </c>
      <c r="B183" s="22" t="s">
        <v>106</v>
      </c>
      <c r="C183" t="s">
        <v>105</v>
      </c>
      <c r="D183" t="s">
        <v>105</v>
      </c>
      <c r="E183" t="s">
        <v>105</v>
      </c>
      <c r="F183" s="14">
        <v>5</v>
      </c>
      <c r="G183" s="15" t="s">
        <v>27</v>
      </c>
      <c r="H183" s="16">
        <f>INDEX(X:X, MATCH(G183, W:W, 0))*F183</f>
        <v>1.25</v>
      </c>
      <c r="I183" s="16">
        <f>IF(COUNTIF($W$3:$W$6, G183) &gt; 0, 0, 1)</f>
        <v>0</v>
      </c>
      <c r="J183" s="16">
        <f>IF(COUNTIF(W$3:W$5, G183) &gt; 0, 0, 1)</f>
        <v>0</v>
      </c>
      <c r="K183" s="17"/>
      <c r="L183" s="16" t="s">
        <v>21</v>
      </c>
      <c r="M183" s="13"/>
      <c r="N183" s="18"/>
      <c r="O183" s="18"/>
      <c r="P183" s="18"/>
      <c r="Q183" s="15"/>
      <c r="R183" s="15"/>
      <c r="S183" s="19"/>
    </row>
    <row r="184" spans="1:19" x14ac:dyDescent="0.35">
      <c r="A184" s="20">
        <v>164</v>
      </c>
      <c r="B184" s="22" t="s">
        <v>106</v>
      </c>
      <c r="C184" t="s">
        <v>105</v>
      </c>
      <c r="D184" t="s">
        <v>105</v>
      </c>
      <c r="E184" t="s">
        <v>105</v>
      </c>
      <c r="F184" s="14">
        <v>5</v>
      </c>
      <c r="G184" s="15" t="s">
        <v>27</v>
      </c>
      <c r="H184" s="16">
        <f>INDEX(X:X, MATCH(G184, W:W, 0))*F184</f>
        <v>1.25</v>
      </c>
      <c r="I184" s="16">
        <f>IF(COUNTIF($W$3:$W$6, G184) &gt; 0, 0, 1)</f>
        <v>0</v>
      </c>
      <c r="J184" s="16">
        <f>IF(COUNTIF(W$3:W$5, G184) &gt; 0, 0, 1)</f>
        <v>0</v>
      </c>
      <c r="K184" s="17"/>
      <c r="L184" s="16" t="s">
        <v>20</v>
      </c>
      <c r="M184" s="13"/>
      <c r="N184" s="18"/>
      <c r="O184" s="18"/>
      <c r="P184" s="18"/>
      <c r="Q184" s="15"/>
      <c r="R184" s="15"/>
      <c r="S184" s="19"/>
    </row>
    <row r="185" spans="1:19" x14ac:dyDescent="0.35">
      <c r="A185" s="20">
        <v>211</v>
      </c>
      <c r="B185" s="22" t="s">
        <v>106</v>
      </c>
      <c r="C185" t="s">
        <v>105</v>
      </c>
      <c r="D185" t="s">
        <v>105</v>
      </c>
      <c r="E185" t="s">
        <v>105</v>
      </c>
      <c r="F185" s="14">
        <v>5</v>
      </c>
      <c r="G185" s="15" t="s">
        <v>27</v>
      </c>
      <c r="H185" s="16">
        <f>INDEX(X:X, MATCH(G185, W:W, 0))*F185</f>
        <v>1.25</v>
      </c>
      <c r="I185" s="16">
        <f>IF(COUNTIF($W$3:$W$6, G185) &gt; 0, 0, 1)</f>
        <v>0</v>
      </c>
      <c r="J185" s="16">
        <f>IF(COUNTIF(W$3:W$5, G185) &gt; 0, 0, 1)</f>
        <v>0</v>
      </c>
      <c r="K185" s="17"/>
      <c r="L185" s="16" t="s">
        <v>21</v>
      </c>
      <c r="M185" s="13"/>
      <c r="N185" s="18"/>
      <c r="O185" s="18"/>
      <c r="P185" s="18"/>
      <c r="Q185" s="15"/>
      <c r="R185" s="15"/>
      <c r="S185" s="19"/>
    </row>
    <row r="186" spans="1:19" x14ac:dyDescent="0.35">
      <c r="A186" s="20">
        <v>223</v>
      </c>
      <c r="B186" s="22" t="s">
        <v>106</v>
      </c>
      <c r="C186" t="s">
        <v>105</v>
      </c>
      <c r="D186" t="s">
        <v>105</v>
      </c>
      <c r="E186" t="s">
        <v>105</v>
      </c>
      <c r="F186" s="14">
        <v>5</v>
      </c>
      <c r="G186" s="15" t="s">
        <v>27</v>
      </c>
      <c r="H186" s="16">
        <f>INDEX(X:X, MATCH(G186, W:W, 0))*F186</f>
        <v>1.25</v>
      </c>
      <c r="I186" s="16">
        <f>IF(COUNTIF($W$3:$W$6, G186) &gt; 0, 0, 1)</f>
        <v>0</v>
      </c>
      <c r="J186" s="16">
        <f>IF(COUNTIF(W$3:W$5, G186) &gt; 0, 0, 1)</f>
        <v>0</v>
      </c>
      <c r="K186" s="17"/>
      <c r="L186" s="16" t="s">
        <v>21</v>
      </c>
      <c r="M186" s="13"/>
      <c r="N186" s="18"/>
      <c r="O186" s="18"/>
      <c r="P186" s="18"/>
      <c r="Q186" s="15"/>
      <c r="R186" s="15"/>
      <c r="S186" s="19"/>
    </row>
    <row r="187" spans="1:19" x14ac:dyDescent="0.35">
      <c r="A187" s="20">
        <v>320</v>
      </c>
      <c r="B187" s="22" t="s">
        <v>106</v>
      </c>
      <c r="C187" t="s">
        <v>105</v>
      </c>
      <c r="D187" t="s">
        <v>105</v>
      </c>
      <c r="E187" t="s">
        <v>105</v>
      </c>
      <c r="F187" s="14">
        <v>5</v>
      </c>
      <c r="G187" s="15" t="s">
        <v>27</v>
      </c>
      <c r="H187" s="16">
        <f>INDEX(X:X, MATCH(G187, W:W, 0))*F187</f>
        <v>1.25</v>
      </c>
      <c r="I187" s="16">
        <f>IF(COUNTIF($W$3:$W$6, G187) &gt; 0, 0, 1)</f>
        <v>0</v>
      </c>
      <c r="J187" s="16">
        <f>IF(COUNTIF(W$3:W$5, G187) &gt; 0, 0, 1)</f>
        <v>0</v>
      </c>
      <c r="K187" s="17"/>
      <c r="L187" s="16" t="s">
        <v>20</v>
      </c>
      <c r="M187" s="13"/>
      <c r="N187" s="18"/>
      <c r="O187" s="18"/>
      <c r="P187" s="18"/>
      <c r="Q187" s="15"/>
      <c r="R187" s="15"/>
      <c r="S187" s="19"/>
    </row>
    <row r="188" spans="1:19" x14ac:dyDescent="0.35">
      <c r="A188" s="20">
        <v>356</v>
      </c>
      <c r="B188" s="22" t="s">
        <v>106</v>
      </c>
      <c r="C188" t="s">
        <v>105</v>
      </c>
      <c r="D188" t="s">
        <v>105</v>
      </c>
      <c r="E188" t="s">
        <v>105</v>
      </c>
      <c r="F188" s="14">
        <v>5</v>
      </c>
      <c r="G188" s="15" t="s">
        <v>27</v>
      </c>
      <c r="H188" s="16">
        <f>INDEX(X:X, MATCH(G188, W:W, 0))*F188</f>
        <v>1.25</v>
      </c>
      <c r="I188" s="16">
        <f>IF(COUNTIF($W$3:$W$6, G188) &gt; 0, 0, 1)</f>
        <v>0</v>
      </c>
      <c r="J188" s="16">
        <f>IF(COUNTIF(W$3:W$5, G188) &gt; 0, 0, 1)</f>
        <v>0</v>
      </c>
      <c r="K188" s="17"/>
      <c r="L188" s="16" t="s">
        <v>21</v>
      </c>
      <c r="M188" s="13"/>
      <c r="N188" s="18"/>
      <c r="O188" s="18"/>
      <c r="P188" s="18"/>
      <c r="Q188" s="15"/>
      <c r="R188" s="15"/>
      <c r="S188" s="19"/>
    </row>
    <row r="189" spans="1:19" x14ac:dyDescent="0.35">
      <c r="A189" s="20">
        <v>462</v>
      </c>
      <c r="B189" s="22" t="s">
        <v>106</v>
      </c>
      <c r="C189" t="s">
        <v>105</v>
      </c>
      <c r="D189" t="s">
        <v>105</v>
      </c>
      <c r="E189" t="s">
        <v>105</v>
      </c>
      <c r="F189" s="14">
        <v>5</v>
      </c>
      <c r="G189" s="15" t="s">
        <v>27</v>
      </c>
      <c r="H189" s="16">
        <f>INDEX(X:X, MATCH(G189, W:W, 0))*F189</f>
        <v>1.25</v>
      </c>
      <c r="I189" s="16">
        <f>IF(COUNTIF($W$3:$W$6, G189) &gt; 0, 0, 1)</f>
        <v>0</v>
      </c>
      <c r="J189" s="16">
        <f>IF(COUNTIF(W$3:W$5, G189) &gt; 0, 0, 1)</f>
        <v>0</v>
      </c>
      <c r="K189" s="17"/>
      <c r="L189" s="16" t="s">
        <v>21</v>
      </c>
      <c r="M189" s="13"/>
      <c r="N189" s="18"/>
      <c r="O189" s="18"/>
      <c r="P189" s="18"/>
      <c r="Q189" s="15"/>
      <c r="R189" s="15"/>
      <c r="S189" s="19"/>
    </row>
    <row r="190" spans="1:19" x14ac:dyDescent="0.35">
      <c r="A190" s="20">
        <v>539</v>
      </c>
      <c r="B190" s="22" t="s">
        <v>106</v>
      </c>
      <c r="C190" t="s">
        <v>105</v>
      </c>
      <c r="D190" t="s">
        <v>105</v>
      </c>
      <c r="E190" t="s">
        <v>105</v>
      </c>
      <c r="F190" s="14">
        <v>5</v>
      </c>
      <c r="G190" s="15" t="s">
        <v>27</v>
      </c>
      <c r="H190" s="16">
        <f>INDEX(X:X, MATCH(G190, W:W, 0))*F190</f>
        <v>1.25</v>
      </c>
      <c r="I190" s="16">
        <f>IF(COUNTIF($W$3:$W$6, G190) &gt; 0, 0, 1)</f>
        <v>0</v>
      </c>
      <c r="J190" s="16">
        <f>IF(COUNTIF(W$3:W$5, G190) &gt; 0, 0, 1)</f>
        <v>0</v>
      </c>
      <c r="K190" s="17"/>
      <c r="L190" s="16" t="s">
        <v>20</v>
      </c>
      <c r="M190" s="13"/>
      <c r="N190" s="18"/>
      <c r="O190" s="18"/>
      <c r="P190" s="18"/>
      <c r="Q190" s="15"/>
      <c r="R190" s="15"/>
      <c r="S190" s="19"/>
    </row>
    <row r="191" spans="1:19" x14ac:dyDescent="0.35">
      <c r="A191" s="20">
        <v>540</v>
      </c>
      <c r="B191" s="22" t="s">
        <v>106</v>
      </c>
      <c r="C191" t="s">
        <v>105</v>
      </c>
      <c r="D191" t="s">
        <v>105</v>
      </c>
      <c r="E191" t="s">
        <v>105</v>
      </c>
      <c r="F191" s="14">
        <v>5</v>
      </c>
      <c r="G191" s="15" t="s">
        <v>27</v>
      </c>
      <c r="H191" s="16">
        <f>INDEX(X:X, MATCH(G191, W:W, 0))*F191</f>
        <v>1.25</v>
      </c>
      <c r="I191" s="16">
        <f>IF(COUNTIF($W$3:$W$6, G191) &gt; 0, 0, 1)</f>
        <v>0</v>
      </c>
      <c r="J191" s="16">
        <f>IF(COUNTIF(W$3:W$5, G191) &gt; 0, 0, 1)</f>
        <v>0</v>
      </c>
      <c r="K191" s="17"/>
      <c r="L191" s="16" t="s">
        <v>21</v>
      </c>
      <c r="M191" s="13"/>
      <c r="N191" s="18"/>
      <c r="O191" s="18"/>
      <c r="P191" s="18"/>
      <c r="Q191" s="15"/>
      <c r="R191" s="15"/>
      <c r="S191" s="19"/>
    </row>
    <row r="192" spans="1:19" x14ac:dyDescent="0.35">
      <c r="A192" s="20">
        <v>558</v>
      </c>
      <c r="B192" s="22" t="s">
        <v>106</v>
      </c>
      <c r="C192" t="s">
        <v>105</v>
      </c>
      <c r="D192" t="s">
        <v>105</v>
      </c>
      <c r="E192" t="s">
        <v>105</v>
      </c>
      <c r="F192" s="14">
        <v>5</v>
      </c>
      <c r="G192" s="15" t="s">
        <v>27</v>
      </c>
      <c r="H192" s="16">
        <f>INDEX(X:X, MATCH(G192, W:W, 0))*F192</f>
        <v>1.25</v>
      </c>
      <c r="I192" s="16">
        <f>IF(COUNTIF($W$3:$W$6, G192) &gt; 0, 0, 1)</f>
        <v>0</v>
      </c>
      <c r="J192" s="16">
        <f>IF(COUNTIF(W$3:W$5, G192) &gt; 0, 0, 1)</f>
        <v>0</v>
      </c>
      <c r="K192" s="17"/>
      <c r="L192" s="16" t="s">
        <v>20</v>
      </c>
      <c r="M192" s="13"/>
      <c r="N192" s="18"/>
      <c r="O192" s="18"/>
      <c r="P192" s="18"/>
      <c r="Q192" s="15"/>
      <c r="R192" s="15"/>
      <c r="S192" s="19"/>
    </row>
    <row r="193" spans="1:19" x14ac:dyDescent="0.35">
      <c r="A193" s="20">
        <v>565</v>
      </c>
      <c r="B193" s="22" t="s">
        <v>106</v>
      </c>
      <c r="C193" t="s">
        <v>105</v>
      </c>
      <c r="D193" t="s">
        <v>105</v>
      </c>
      <c r="E193" t="s">
        <v>105</v>
      </c>
      <c r="F193" s="14">
        <v>5</v>
      </c>
      <c r="G193" s="15" t="s">
        <v>27</v>
      </c>
      <c r="H193" s="16">
        <f>INDEX(X:X, MATCH(G193, W:W, 0))*F193</f>
        <v>1.25</v>
      </c>
      <c r="I193" s="16">
        <f>IF(COUNTIF($W$3:$W$6, G193) &gt; 0, 0, 1)</f>
        <v>0</v>
      </c>
      <c r="J193" s="16">
        <f>IF(COUNTIF(W$3:W$5, G193) &gt; 0, 0, 1)</f>
        <v>0</v>
      </c>
      <c r="K193" s="17"/>
      <c r="L193" s="16" t="s">
        <v>20</v>
      </c>
      <c r="M193" s="13"/>
      <c r="N193" s="18"/>
      <c r="O193" s="18"/>
      <c r="P193" s="18"/>
      <c r="Q193" s="15"/>
      <c r="R193" s="15"/>
      <c r="S193" s="19"/>
    </row>
    <row r="194" spans="1:19" x14ac:dyDescent="0.35">
      <c r="A194" s="20">
        <v>577</v>
      </c>
      <c r="B194" s="22" t="s">
        <v>106</v>
      </c>
      <c r="C194" t="s">
        <v>105</v>
      </c>
      <c r="D194" t="s">
        <v>105</v>
      </c>
      <c r="E194" t="s">
        <v>105</v>
      </c>
      <c r="F194" s="14">
        <v>5</v>
      </c>
      <c r="G194" s="15" t="s">
        <v>27</v>
      </c>
      <c r="H194" s="16">
        <f>INDEX(X:X, MATCH(G194, W:W, 0))*F194</f>
        <v>1.25</v>
      </c>
      <c r="I194" s="16">
        <f>IF(COUNTIF($W$3:$W$6, G194) &gt; 0, 0, 1)</f>
        <v>0</v>
      </c>
      <c r="J194" s="16">
        <f>IF(COUNTIF(W$3:W$5, G194) &gt; 0, 0, 1)</f>
        <v>0</v>
      </c>
      <c r="K194" s="17"/>
      <c r="L194" s="16" t="s">
        <v>21</v>
      </c>
      <c r="M194" s="13"/>
      <c r="N194" s="18"/>
      <c r="O194" s="18"/>
      <c r="P194" s="18"/>
      <c r="Q194" s="15"/>
      <c r="R194" s="15"/>
      <c r="S194" s="19"/>
    </row>
    <row r="195" spans="1:19" x14ac:dyDescent="0.35">
      <c r="A195" s="20">
        <v>580</v>
      </c>
      <c r="B195" s="22" t="s">
        <v>106</v>
      </c>
      <c r="C195" t="s">
        <v>105</v>
      </c>
      <c r="D195" t="s">
        <v>105</v>
      </c>
      <c r="E195" t="s">
        <v>105</v>
      </c>
      <c r="F195" s="14">
        <v>5</v>
      </c>
      <c r="G195" s="15" t="s">
        <v>27</v>
      </c>
      <c r="H195" s="16">
        <f>INDEX(X:X, MATCH(G195, W:W, 0))*F195</f>
        <v>1.25</v>
      </c>
      <c r="I195" s="16">
        <f>IF(COUNTIF($W$3:$W$6, G195) &gt; 0, 0, 1)</f>
        <v>0</v>
      </c>
      <c r="J195" s="16">
        <f>IF(COUNTIF(W$3:W$5, G195) &gt; 0, 0, 1)</f>
        <v>0</v>
      </c>
      <c r="K195" s="17"/>
      <c r="L195" s="16" t="s">
        <v>20</v>
      </c>
      <c r="M195" s="13"/>
      <c r="N195" s="18"/>
      <c r="O195" s="18"/>
      <c r="P195" s="18"/>
      <c r="Q195" s="15"/>
      <c r="R195" s="15"/>
      <c r="S195" s="19"/>
    </row>
    <row r="196" spans="1:19" x14ac:dyDescent="0.35">
      <c r="A196" s="20">
        <v>581</v>
      </c>
      <c r="B196" s="22" t="s">
        <v>106</v>
      </c>
      <c r="C196" t="s">
        <v>105</v>
      </c>
      <c r="D196" t="s">
        <v>105</v>
      </c>
      <c r="E196" t="s">
        <v>105</v>
      </c>
      <c r="F196" s="14">
        <v>5</v>
      </c>
      <c r="G196" s="15" t="s">
        <v>27</v>
      </c>
      <c r="H196" s="16">
        <f>INDEX(X:X, MATCH(G196, W:W, 0))*F196</f>
        <v>1.25</v>
      </c>
      <c r="I196" s="16">
        <f>IF(COUNTIF($W$3:$W$6, G196) &gt; 0, 0, 1)</f>
        <v>0</v>
      </c>
      <c r="J196" s="16">
        <f>IF(COUNTIF(W$3:W$5, G196) &gt; 0, 0, 1)</f>
        <v>0</v>
      </c>
      <c r="K196" s="17"/>
      <c r="L196" s="16" t="s">
        <v>20</v>
      </c>
      <c r="M196" s="13"/>
      <c r="N196" s="18"/>
      <c r="O196" s="18"/>
      <c r="P196" s="18"/>
      <c r="Q196" s="15"/>
      <c r="R196" s="15"/>
      <c r="S196" s="19"/>
    </row>
    <row r="197" spans="1:19" x14ac:dyDescent="0.35">
      <c r="A197" s="20">
        <v>584</v>
      </c>
      <c r="B197" s="22" t="s">
        <v>106</v>
      </c>
      <c r="C197" t="s">
        <v>105</v>
      </c>
      <c r="D197" t="s">
        <v>105</v>
      </c>
      <c r="E197" t="s">
        <v>105</v>
      </c>
      <c r="F197" s="14">
        <v>5</v>
      </c>
      <c r="G197" s="15" t="s">
        <v>27</v>
      </c>
      <c r="H197" s="16">
        <f>INDEX(X:X, MATCH(G197, W:W, 0))*F197</f>
        <v>1.25</v>
      </c>
      <c r="I197" s="16">
        <f>IF(COUNTIF($W$3:$W$6, G197) &gt; 0, 0, 1)</f>
        <v>0</v>
      </c>
      <c r="J197" s="16">
        <f>IF(COUNTIF(W$3:W$5, G197) &gt; 0, 0, 1)</f>
        <v>0</v>
      </c>
      <c r="K197" s="17"/>
      <c r="L197" s="16" t="s">
        <v>21</v>
      </c>
      <c r="M197" s="13"/>
      <c r="N197" s="18"/>
      <c r="O197" s="18"/>
      <c r="P197" s="18"/>
      <c r="Q197" s="15"/>
      <c r="R197" s="15"/>
      <c r="S197" s="19"/>
    </row>
    <row r="198" spans="1:19" x14ac:dyDescent="0.35">
      <c r="A198" s="20">
        <v>585</v>
      </c>
      <c r="B198" s="22" t="s">
        <v>106</v>
      </c>
      <c r="C198" t="s">
        <v>105</v>
      </c>
      <c r="D198" t="s">
        <v>105</v>
      </c>
      <c r="E198" t="s">
        <v>105</v>
      </c>
      <c r="F198" s="14">
        <v>5</v>
      </c>
      <c r="G198" s="15" t="s">
        <v>27</v>
      </c>
      <c r="H198" s="16">
        <f>INDEX(X:X, MATCH(G198, W:W, 0))*F198</f>
        <v>1.25</v>
      </c>
      <c r="I198" s="16">
        <f>IF(COUNTIF($W$3:$W$6, G198) &gt; 0, 0, 1)</f>
        <v>0</v>
      </c>
      <c r="J198" s="16">
        <f>IF(COUNTIF(W$3:W$5, G198) &gt; 0, 0, 1)</f>
        <v>0</v>
      </c>
      <c r="K198" s="17"/>
      <c r="L198" s="16" t="s">
        <v>21</v>
      </c>
      <c r="M198" s="13"/>
      <c r="N198" s="18"/>
      <c r="O198" s="18"/>
      <c r="P198" s="18"/>
      <c r="Q198" s="15"/>
      <c r="R198" s="15"/>
      <c r="S198" s="19"/>
    </row>
    <row r="199" spans="1:19" x14ac:dyDescent="0.35">
      <c r="A199" s="20">
        <v>592</v>
      </c>
      <c r="B199" s="22" t="s">
        <v>106</v>
      </c>
      <c r="C199" t="s">
        <v>105</v>
      </c>
      <c r="D199" t="s">
        <v>105</v>
      </c>
      <c r="E199" t="s">
        <v>105</v>
      </c>
      <c r="F199" s="14">
        <v>5</v>
      </c>
      <c r="G199" s="15" t="s">
        <v>27</v>
      </c>
      <c r="H199" s="16">
        <f>INDEX(X:X, MATCH(G199, W:W, 0))*F199</f>
        <v>1.25</v>
      </c>
      <c r="I199" s="16">
        <f>IF(COUNTIF($W$3:$W$6, G199) &gt; 0, 0, 1)</f>
        <v>0</v>
      </c>
      <c r="J199" s="16">
        <f>IF(COUNTIF(W$3:W$5, G199) &gt; 0, 0, 1)</f>
        <v>0</v>
      </c>
      <c r="K199" s="17"/>
      <c r="L199" s="16" t="s">
        <v>20</v>
      </c>
      <c r="M199" s="13"/>
      <c r="N199" s="18"/>
      <c r="O199" s="18"/>
      <c r="P199" s="18"/>
      <c r="Q199" s="15"/>
      <c r="R199" s="15"/>
      <c r="S199" s="19"/>
    </row>
    <row r="200" spans="1:19" x14ac:dyDescent="0.35">
      <c r="A200" s="20">
        <v>599</v>
      </c>
      <c r="B200" s="22" t="s">
        <v>106</v>
      </c>
      <c r="C200" t="s">
        <v>105</v>
      </c>
      <c r="D200" t="s">
        <v>105</v>
      </c>
      <c r="E200" t="s">
        <v>105</v>
      </c>
      <c r="F200" s="14">
        <v>5</v>
      </c>
      <c r="G200" s="15" t="s">
        <v>27</v>
      </c>
      <c r="H200" s="16">
        <f>INDEX(X:X, MATCH(G200, W:W, 0))*F200</f>
        <v>1.25</v>
      </c>
      <c r="I200" s="16">
        <f>IF(COUNTIF($W$3:$W$6, G200) &gt; 0, 0, 1)</f>
        <v>0</v>
      </c>
      <c r="J200" s="16">
        <f>IF(COUNTIF(W$3:W$5, G200) &gt; 0, 0, 1)</f>
        <v>0</v>
      </c>
      <c r="K200" s="17"/>
      <c r="L200" s="16" t="s">
        <v>21</v>
      </c>
      <c r="M200" s="13"/>
      <c r="N200" s="18"/>
      <c r="O200" s="18"/>
      <c r="P200" s="18"/>
      <c r="Q200" s="15"/>
      <c r="R200" s="15"/>
      <c r="S200" s="19"/>
    </row>
    <row r="201" spans="1:19" x14ac:dyDescent="0.35">
      <c r="A201" s="20">
        <v>616</v>
      </c>
      <c r="B201" s="22" t="s">
        <v>106</v>
      </c>
      <c r="C201" t="s">
        <v>105</v>
      </c>
      <c r="D201" t="s">
        <v>105</v>
      </c>
      <c r="E201" t="s">
        <v>105</v>
      </c>
      <c r="F201" s="14">
        <v>5</v>
      </c>
      <c r="G201" s="15" t="s">
        <v>27</v>
      </c>
      <c r="H201" s="16">
        <f>INDEX(X:X, MATCH(G201, W:W, 0))*F201</f>
        <v>1.25</v>
      </c>
      <c r="I201" s="16">
        <f>IF(COUNTIF($W$3:$W$6, G201) &gt; 0, 0, 1)</f>
        <v>0</v>
      </c>
      <c r="J201" s="16">
        <f>IF(COUNTIF(W$3:W$5, G201) &gt; 0, 0, 1)</f>
        <v>0</v>
      </c>
      <c r="K201" s="17"/>
      <c r="L201" s="16" t="s">
        <v>21</v>
      </c>
      <c r="M201" s="13"/>
      <c r="N201" s="18"/>
      <c r="O201" s="18"/>
      <c r="P201" s="18"/>
      <c r="Q201" s="15"/>
      <c r="R201" s="15"/>
      <c r="S201" s="19"/>
    </row>
    <row r="202" spans="1:19" x14ac:dyDescent="0.35">
      <c r="A202" s="20">
        <v>634</v>
      </c>
      <c r="B202" s="22" t="s">
        <v>106</v>
      </c>
      <c r="C202" t="s">
        <v>105</v>
      </c>
      <c r="D202" t="s">
        <v>105</v>
      </c>
      <c r="E202" t="s">
        <v>105</v>
      </c>
      <c r="F202" s="14">
        <v>5</v>
      </c>
      <c r="G202" s="15" t="s">
        <v>27</v>
      </c>
      <c r="H202" s="16">
        <f>INDEX(X:X, MATCH(G202, W:W, 0))*F202</f>
        <v>1.25</v>
      </c>
      <c r="I202" s="16">
        <f>IF(COUNTIF($W$3:$W$6, G202) &gt; 0, 0, 1)</f>
        <v>0</v>
      </c>
      <c r="J202" s="16">
        <f>IF(COUNTIF(W$3:W$5, G202) &gt; 0, 0, 1)</f>
        <v>0</v>
      </c>
      <c r="K202" s="17"/>
      <c r="L202" s="16" t="s">
        <v>21</v>
      </c>
      <c r="M202" s="13"/>
      <c r="N202" s="18"/>
      <c r="O202" s="18"/>
      <c r="P202" s="18"/>
      <c r="Q202" s="15"/>
      <c r="R202" s="15"/>
      <c r="S202" s="19"/>
    </row>
    <row r="203" spans="1:19" x14ac:dyDescent="0.35">
      <c r="A203" s="20">
        <v>636</v>
      </c>
      <c r="B203" s="22" t="s">
        <v>106</v>
      </c>
      <c r="C203" t="s">
        <v>105</v>
      </c>
      <c r="D203" t="s">
        <v>105</v>
      </c>
      <c r="E203" t="s">
        <v>105</v>
      </c>
      <c r="F203" s="14">
        <v>5</v>
      </c>
      <c r="G203" s="15" t="s">
        <v>27</v>
      </c>
      <c r="H203" s="16">
        <f>INDEX(X:X, MATCH(G203, W:W, 0))*F203</f>
        <v>1.25</v>
      </c>
      <c r="I203" s="16">
        <f>IF(COUNTIF($W$3:$W$6, G203) &gt; 0, 0, 1)</f>
        <v>0</v>
      </c>
      <c r="J203" s="16">
        <f>IF(COUNTIF(W$3:W$5, G203) &gt; 0, 0, 1)</f>
        <v>0</v>
      </c>
      <c r="K203" s="17"/>
      <c r="L203" s="16" t="s">
        <v>21</v>
      </c>
      <c r="M203" s="13"/>
      <c r="N203" s="18"/>
      <c r="O203" s="18"/>
      <c r="P203" s="18"/>
      <c r="Q203" s="15"/>
      <c r="R203" s="15"/>
      <c r="S203" s="19"/>
    </row>
    <row r="204" spans="1:19" x14ac:dyDescent="0.35">
      <c r="A204" s="20">
        <v>654</v>
      </c>
      <c r="B204" s="22" t="s">
        <v>106</v>
      </c>
      <c r="C204" t="s">
        <v>105</v>
      </c>
      <c r="D204" t="s">
        <v>105</v>
      </c>
      <c r="E204" t="s">
        <v>105</v>
      </c>
      <c r="F204" s="14">
        <v>5</v>
      </c>
      <c r="G204" s="15" t="s">
        <v>27</v>
      </c>
      <c r="H204" s="16">
        <f>INDEX(X:X, MATCH(G204, W:W, 0))*F204</f>
        <v>1.25</v>
      </c>
      <c r="I204" s="16">
        <f>IF(COUNTIF($W$3:$W$6, G204) &gt; 0, 0, 1)</f>
        <v>0</v>
      </c>
      <c r="J204" s="16">
        <f>IF(COUNTIF(W$3:W$5, G204) &gt; 0, 0, 1)</f>
        <v>0</v>
      </c>
      <c r="K204" s="17"/>
      <c r="L204" s="16" t="s">
        <v>21</v>
      </c>
      <c r="M204" s="13"/>
      <c r="N204" s="18"/>
      <c r="O204" s="18"/>
      <c r="P204" s="18"/>
      <c r="Q204" s="15"/>
      <c r="R204" s="15"/>
      <c r="S204" s="19"/>
    </row>
    <row r="205" spans="1:19" x14ac:dyDescent="0.35">
      <c r="A205" s="20">
        <v>663</v>
      </c>
      <c r="B205" s="22" t="s">
        <v>106</v>
      </c>
      <c r="C205" t="s">
        <v>105</v>
      </c>
      <c r="D205" t="s">
        <v>105</v>
      </c>
      <c r="E205" t="s">
        <v>105</v>
      </c>
      <c r="F205" s="14">
        <v>5</v>
      </c>
      <c r="G205" s="15" t="s">
        <v>27</v>
      </c>
      <c r="H205" s="16">
        <f>INDEX(X:X, MATCH(G205, W:W, 0))*F205</f>
        <v>1.25</v>
      </c>
      <c r="I205" s="16">
        <f>IF(COUNTIF($W$3:$W$6, G205) &gt; 0, 0, 1)</f>
        <v>0</v>
      </c>
      <c r="J205" s="16">
        <f>IF(COUNTIF(W$3:W$5, G205) &gt; 0, 0, 1)</f>
        <v>0</v>
      </c>
      <c r="K205" s="17"/>
      <c r="L205" s="16" t="s">
        <v>20</v>
      </c>
      <c r="M205" s="13"/>
      <c r="N205" s="18"/>
      <c r="O205" s="18"/>
      <c r="P205" s="18"/>
      <c r="Q205" s="15"/>
      <c r="R205" s="15"/>
      <c r="S205" s="19"/>
    </row>
    <row r="206" spans="1:19" x14ac:dyDescent="0.35">
      <c r="A206" s="20">
        <v>688</v>
      </c>
      <c r="B206" s="22" t="s">
        <v>106</v>
      </c>
      <c r="C206" t="s">
        <v>105</v>
      </c>
      <c r="D206" t="s">
        <v>105</v>
      </c>
      <c r="E206" t="s">
        <v>105</v>
      </c>
      <c r="F206" s="14">
        <v>5</v>
      </c>
      <c r="G206" s="15" t="s">
        <v>27</v>
      </c>
      <c r="H206" s="16">
        <f>INDEX(X:X, MATCH(G206, W:W, 0))*F206</f>
        <v>1.25</v>
      </c>
      <c r="I206" s="16">
        <f>IF(COUNTIF($W$3:$W$6, G206) &gt; 0, 0, 1)</f>
        <v>0</v>
      </c>
      <c r="J206" s="16">
        <f>IF(COUNTIF(W$3:W$5, G206) &gt; 0, 0, 1)</f>
        <v>0</v>
      </c>
      <c r="K206" s="17"/>
      <c r="L206" s="16" t="s">
        <v>20</v>
      </c>
      <c r="M206" s="13"/>
      <c r="N206" s="18"/>
      <c r="O206" s="18"/>
      <c r="P206" s="18"/>
      <c r="Q206" s="15"/>
      <c r="R206" s="15"/>
      <c r="S206" s="19"/>
    </row>
    <row r="207" spans="1:19" x14ac:dyDescent="0.35">
      <c r="A207" s="20">
        <v>695</v>
      </c>
      <c r="B207" s="22" t="s">
        <v>106</v>
      </c>
      <c r="C207" t="s">
        <v>105</v>
      </c>
      <c r="D207" t="s">
        <v>105</v>
      </c>
      <c r="E207" t="s">
        <v>105</v>
      </c>
      <c r="F207" s="14">
        <v>5</v>
      </c>
      <c r="G207" s="15" t="s">
        <v>27</v>
      </c>
      <c r="H207" s="16">
        <f>INDEX(X:X, MATCH(G207, W:W, 0))*F207</f>
        <v>1.25</v>
      </c>
      <c r="I207" s="16">
        <f>IF(COUNTIF($W$3:$W$6, G207) &gt; 0, 0, 1)</f>
        <v>0</v>
      </c>
      <c r="J207" s="16">
        <f>IF(COUNTIF(W$3:W$5, G207) &gt; 0, 0, 1)</f>
        <v>0</v>
      </c>
      <c r="K207" s="17"/>
      <c r="L207" s="16" t="s">
        <v>20</v>
      </c>
      <c r="M207" s="13"/>
      <c r="N207" s="18"/>
      <c r="O207" s="18"/>
      <c r="P207" s="18"/>
      <c r="Q207" s="15"/>
      <c r="R207" s="15"/>
      <c r="S207" s="19"/>
    </row>
    <row r="208" spans="1:19" x14ac:dyDescent="0.35">
      <c r="A208" s="20">
        <v>707</v>
      </c>
      <c r="B208" s="22" t="s">
        <v>106</v>
      </c>
      <c r="C208" t="s">
        <v>105</v>
      </c>
      <c r="D208" t="s">
        <v>105</v>
      </c>
      <c r="E208" t="s">
        <v>105</v>
      </c>
      <c r="F208" s="14">
        <v>10</v>
      </c>
      <c r="G208" s="15" t="s">
        <v>27</v>
      </c>
      <c r="H208" s="16">
        <f>INDEX(X:X, MATCH(G208, W:W, 0))*F208</f>
        <v>2.5</v>
      </c>
      <c r="I208" s="16">
        <f>IF(COUNTIF($W$3:$W$6, G208) &gt; 0, 0, 1)</f>
        <v>0</v>
      </c>
      <c r="J208" s="16">
        <f>IF(COUNTIF(W$3:W$5, G208) &gt; 0, 0, 1)</f>
        <v>0</v>
      </c>
      <c r="K208" s="17"/>
      <c r="L208" s="16" t="s">
        <v>21</v>
      </c>
      <c r="M208" s="13"/>
      <c r="N208" s="18"/>
      <c r="O208" s="18"/>
      <c r="P208" s="18"/>
      <c r="Q208" s="15"/>
      <c r="R208" s="15"/>
      <c r="S208" s="19"/>
    </row>
    <row r="209" spans="1:19" x14ac:dyDescent="0.35">
      <c r="A209" s="20">
        <v>711</v>
      </c>
      <c r="B209" s="22" t="s">
        <v>106</v>
      </c>
      <c r="C209" t="s">
        <v>105</v>
      </c>
      <c r="D209" t="s">
        <v>105</v>
      </c>
      <c r="E209" t="s">
        <v>105</v>
      </c>
      <c r="F209" s="14">
        <v>5</v>
      </c>
      <c r="G209" s="15" t="s">
        <v>27</v>
      </c>
      <c r="H209" s="16">
        <f>INDEX(X:X, MATCH(G209, W:W, 0))*F209</f>
        <v>1.25</v>
      </c>
      <c r="I209" s="16">
        <f>IF(COUNTIF($W$3:$W$6, G209) &gt; 0, 0, 1)</f>
        <v>0</v>
      </c>
      <c r="J209" s="16">
        <f>IF(COUNTIF(W$3:W$5, G209) &gt; 0, 0, 1)</f>
        <v>0</v>
      </c>
      <c r="K209" s="17"/>
      <c r="L209" s="16" t="s">
        <v>21</v>
      </c>
      <c r="M209" s="13"/>
      <c r="N209" s="18"/>
      <c r="O209" s="18"/>
      <c r="P209" s="18"/>
      <c r="Q209" s="15"/>
      <c r="R209" s="15"/>
      <c r="S209" s="19"/>
    </row>
    <row r="210" spans="1:19" x14ac:dyDescent="0.35">
      <c r="A210" s="20">
        <v>728</v>
      </c>
      <c r="B210" s="22" t="s">
        <v>106</v>
      </c>
      <c r="C210" t="s">
        <v>105</v>
      </c>
      <c r="D210" t="s">
        <v>105</v>
      </c>
      <c r="E210" t="s">
        <v>105</v>
      </c>
      <c r="F210" s="14">
        <v>5</v>
      </c>
      <c r="G210" s="15" t="s">
        <v>27</v>
      </c>
      <c r="H210" s="16">
        <f>INDEX(X:X, MATCH(G210, W:W, 0))*F210</f>
        <v>1.25</v>
      </c>
      <c r="I210" s="16">
        <f>IF(COUNTIF($W$3:$W$6, G210) &gt; 0, 0, 1)</f>
        <v>0</v>
      </c>
      <c r="J210" s="16">
        <f>IF(COUNTIF(W$3:W$5, G210) &gt; 0, 0, 1)</f>
        <v>0</v>
      </c>
      <c r="K210" s="17"/>
      <c r="L210" s="16" t="s">
        <v>21</v>
      </c>
      <c r="M210" s="13"/>
      <c r="N210" s="18"/>
      <c r="O210" s="18"/>
      <c r="P210" s="18"/>
      <c r="Q210" s="15"/>
      <c r="R210" s="15"/>
      <c r="S210" s="19"/>
    </row>
    <row r="211" spans="1:19" x14ac:dyDescent="0.35">
      <c r="A211" s="20">
        <v>732</v>
      </c>
      <c r="B211" s="22" t="s">
        <v>106</v>
      </c>
      <c r="C211" t="s">
        <v>105</v>
      </c>
      <c r="D211" t="s">
        <v>105</v>
      </c>
      <c r="E211" t="s">
        <v>105</v>
      </c>
      <c r="F211" s="14">
        <v>5</v>
      </c>
      <c r="G211" s="15" t="s">
        <v>27</v>
      </c>
      <c r="H211" s="16">
        <f>INDEX(X:X, MATCH(G211, W:W, 0))*F211</f>
        <v>1.25</v>
      </c>
      <c r="I211" s="16">
        <f>IF(COUNTIF($W$3:$W$6, G211) &gt; 0, 0, 1)</f>
        <v>0</v>
      </c>
      <c r="J211" s="16">
        <f>IF(COUNTIF(W$3:W$5, G211) &gt; 0, 0, 1)</f>
        <v>0</v>
      </c>
      <c r="K211" s="17"/>
      <c r="L211" s="16" t="s">
        <v>20</v>
      </c>
      <c r="M211" s="13"/>
      <c r="N211" s="18"/>
      <c r="O211" s="18"/>
      <c r="P211" s="18"/>
      <c r="Q211" s="15"/>
      <c r="R211" s="15"/>
      <c r="S211" s="19"/>
    </row>
    <row r="212" spans="1:19" x14ac:dyDescent="0.35">
      <c r="A212" s="20">
        <v>748</v>
      </c>
      <c r="B212" s="22" t="s">
        <v>106</v>
      </c>
      <c r="C212" t="s">
        <v>105</v>
      </c>
      <c r="D212" t="s">
        <v>105</v>
      </c>
      <c r="E212" t="s">
        <v>105</v>
      </c>
      <c r="F212" s="24">
        <v>5</v>
      </c>
      <c r="G212" s="15" t="s">
        <v>27</v>
      </c>
      <c r="H212" s="16">
        <f>INDEX(X:X, MATCH(G212, W:W, 0))*F212</f>
        <v>1.25</v>
      </c>
      <c r="I212" s="16">
        <f>IF(COUNTIF($W$3:$W$6, G212) &gt; 0, 0, 1)</f>
        <v>0</v>
      </c>
      <c r="J212" s="16">
        <f>IF(COUNTIF(W$3:W$5, G212) &gt; 0, 0, 1)</f>
        <v>0</v>
      </c>
      <c r="K212" s="17"/>
      <c r="L212" s="48" t="s">
        <v>21</v>
      </c>
      <c r="M212" s="13"/>
      <c r="N212" s="18"/>
      <c r="O212" s="18"/>
      <c r="P212" s="18"/>
      <c r="Q212" s="15"/>
      <c r="R212" s="15"/>
      <c r="S212" s="19"/>
    </row>
    <row r="213" spans="1:19" x14ac:dyDescent="0.35">
      <c r="A213" s="20">
        <v>749</v>
      </c>
      <c r="B213" s="22" t="s">
        <v>106</v>
      </c>
      <c r="C213" t="s">
        <v>105</v>
      </c>
      <c r="D213" t="s">
        <v>105</v>
      </c>
      <c r="E213" t="s">
        <v>105</v>
      </c>
      <c r="F213" s="14">
        <v>5</v>
      </c>
      <c r="G213" s="15" t="s">
        <v>27</v>
      </c>
      <c r="H213" s="16">
        <f>INDEX(X:X, MATCH(G213, W:W, 0))*F213</f>
        <v>1.25</v>
      </c>
      <c r="I213" s="16">
        <f>IF(COUNTIF($W$3:$W$6, G213) &gt; 0, 0, 1)</f>
        <v>0</v>
      </c>
      <c r="J213" s="16">
        <f>IF(COUNTIF(W$3:W$5, G213) &gt; 0, 0, 1)</f>
        <v>0</v>
      </c>
      <c r="K213" s="17"/>
      <c r="L213" s="16" t="s">
        <v>21</v>
      </c>
      <c r="M213" s="13"/>
      <c r="N213" s="18"/>
      <c r="O213" s="18"/>
      <c r="P213" s="18"/>
      <c r="Q213" s="15"/>
      <c r="R213" s="15"/>
      <c r="S213" s="19"/>
    </row>
    <row r="214" spans="1:19" x14ac:dyDescent="0.35">
      <c r="A214" s="20">
        <v>750</v>
      </c>
      <c r="B214" s="22" t="s">
        <v>106</v>
      </c>
      <c r="C214" t="s">
        <v>105</v>
      </c>
      <c r="D214" t="s">
        <v>105</v>
      </c>
      <c r="E214" t="s">
        <v>105</v>
      </c>
      <c r="F214" s="14">
        <v>5</v>
      </c>
      <c r="G214" s="15" t="s">
        <v>27</v>
      </c>
      <c r="H214" s="16">
        <f>INDEX(X:X, MATCH(G214, W:W, 0))*F214</f>
        <v>1.25</v>
      </c>
      <c r="I214" s="16">
        <f>IF(COUNTIF($W$3:$W$6, G214) &gt; 0, 0, 1)</f>
        <v>0</v>
      </c>
      <c r="J214" s="16">
        <f>IF(COUNTIF(W$3:W$5, G214) &gt; 0, 0, 1)</f>
        <v>0</v>
      </c>
      <c r="K214" s="17"/>
      <c r="L214" s="16" t="s">
        <v>21</v>
      </c>
      <c r="M214" s="13"/>
      <c r="N214" s="18"/>
      <c r="O214" s="18"/>
      <c r="P214" s="18"/>
      <c r="Q214" s="15"/>
      <c r="R214" s="15"/>
      <c r="S214" s="19"/>
    </row>
    <row r="215" spans="1:19" x14ac:dyDescent="0.35">
      <c r="A215" s="25">
        <v>1</v>
      </c>
      <c r="B215" t="s">
        <v>105</v>
      </c>
      <c r="C215" s="22" t="s">
        <v>106</v>
      </c>
      <c r="D215" t="s">
        <v>105</v>
      </c>
      <c r="E215" t="s">
        <v>105</v>
      </c>
      <c r="F215" s="27">
        <v>5</v>
      </c>
      <c r="G215" s="15" t="s">
        <v>27</v>
      </c>
      <c r="H215" s="16">
        <f>INDEX(X:X, MATCH(G215, W:W, 0))*F215</f>
        <v>1.25</v>
      </c>
      <c r="I215" s="16">
        <f>IF(COUNTIF($W$3:$W$6, G215) &gt; 0, 0, 1)</f>
        <v>0</v>
      </c>
      <c r="J215" s="16">
        <f>IF(COUNTIF(W$3:W$5, G215) &gt; 0, 0, 1)</f>
        <v>0</v>
      </c>
      <c r="K215" s="33" t="s">
        <v>50</v>
      </c>
      <c r="L215" s="31" t="s">
        <v>20</v>
      </c>
      <c r="M215" s="36"/>
      <c r="N215" s="37"/>
      <c r="O215" s="18"/>
      <c r="P215" s="37"/>
      <c r="Q215" s="29"/>
      <c r="R215" s="29"/>
      <c r="S215" s="39"/>
    </row>
    <row r="216" spans="1:19" x14ac:dyDescent="0.35">
      <c r="A216" s="25">
        <v>11</v>
      </c>
      <c r="B216" t="s">
        <v>105</v>
      </c>
      <c r="C216" s="22" t="s">
        <v>106</v>
      </c>
      <c r="D216" t="s">
        <v>105</v>
      </c>
      <c r="E216" t="s">
        <v>105</v>
      </c>
      <c r="F216" s="27">
        <v>5</v>
      </c>
      <c r="G216" s="15" t="s">
        <v>27</v>
      </c>
      <c r="H216" s="16">
        <f>INDEX(X:X, MATCH(G216, W:W, 0))*F216</f>
        <v>1.25</v>
      </c>
      <c r="I216" s="16">
        <f>IF(COUNTIF($W$3:$W$6, G216) &gt; 0, 0, 1)</f>
        <v>0</v>
      </c>
      <c r="J216" s="16">
        <f>IF(COUNTIF(W$3:W$5, G216) &gt; 0, 0, 1)</f>
        <v>0</v>
      </c>
      <c r="K216" s="34"/>
      <c r="L216" s="31" t="s">
        <v>20</v>
      </c>
      <c r="M216" s="36"/>
      <c r="N216" s="37"/>
      <c r="O216" s="18"/>
      <c r="P216" s="37"/>
      <c r="Q216" s="29"/>
      <c r="R216" s="29"/>
      <c r="S216" s="39"/>
    </row>
    <row r="217" spans="1:19" x14ac:dyDescent="0.35">
      <c r="A217" s="20">
        <v>12</v>
      </c>
      <c r="B217" t="s">
        <v>105</v>
      </c>
      <c r="C217" s="22" t="s">
        <v>106</v>
      </c>
      <c r="D217" t="s">
        <v>105</v>
      </c>
      <c r="E217" t="s">
        <v>105</v>
      </c>
      <c r="F217" s="14">
        <v>5</v>
      </c>
      <c r="G217" s="15" t="s">
        <v>27</v>
      </c>
      <c r="H217" s="16">
        <f>INDEX(X:X, MATCH(G217, W:W, 0))*F217</f>
        <v>1.25</v>
      </c>
      <c r="I217" s="16">
        <f>IF(COUNTIF($W$3:$W$6, G217) &gt; 0, 0, 1)</f>
        <v>0</v>
      </c>
      <c r="J217" s="16">
        <f>IF(COUNTIF(W$3:W$5, G217) &gt; 0, 0, 1)</f>
        <v>0</v>
      </c>
      <c r="K217" s="17"/>
      <c r="L217" s="16" t="s">
        <v>21</v>
      </c>
      <c r="M217" s="13"/>
      <c r="N217" s="18"/>
      <c r="O217" s="18"/>
      <c r="P217" s="18"/>
      <c r="Q217" s="15"/>
      <c r="R217" s="15"/>
      <c r="S217" s="19"/>
    </row>
    <row r="218" spans="1:19" x14ac:dyDescent="0.35">
      <c r="A218" s="20">
        <v>19</v>
      </c>
      <c r="B218" t="s">
        <v>105</v>
      </c>
      <c r="C218" s="22" t="s">
        <v>106</v>
      </c>
      <c r="D218" t="s">
        <v>105</v>
      </c>
      <c r="E218" t="s">
        <v>105</v>
      </c>
      <c r="F218" s="14">
        <v>10</v>
      </c>
      <c r="G218" s="15" t="s">
        <v>27</v>
      </c>
      <c r="H218" s="16">
        <f>INDEX(X:X, MATCH(G218, W:W, 0))*F218</f>
        <v>2.5</v>
      </c>
      <c r="I218" s="16">
        <f>IF(COUNTIF($W$3:$W$6, G218) &gt; 0, 0, 1)</f>
        <v>0</v>
      </c>
      <c r="J218" s="16">
        <f>IF(COUNTIF(W$3:W$5, G218) &gt; 0, 0, 1)</f>
        <v>0</v>
      </c>
      <c r="K218" s="17"/>
      <c r="L218" s="16" t="s">
        <v>21</v>
      </c>
      <c r="M218" s="13"/>
      <c r="N218" s="18"/>
      <c r="O218" s="18"/>
      <c r="P218" s="18"/>
      <c r="Q218" s="15"/>
      <c r="R218" s="15"/>
      <c r="S218" s="19"/>
    </row>
    <row r="219" spans="1:19" x14ac:dyDescent="0.35">
      <c r="A219" s="20">
        <v>34</v>
      </c>
      <c r="B219" t="s">
        <v>105</v>
      </c>
      <c r="C219" s="22" t="s">
        <v>106</v>
      </c>
      <c r="D219" t="s">
        <v>105</v>
      </c>
      <c r="E219" t="s">
        <v>105</v>
      </c>
      <c r="F219" s="14">
        <v>5</v>
      </c>
      <c r="G219" s="15" t="s">
        <v>27</v>
      </c>
      <c r="H219" s="16">
        <f>INDEX(X:X, MATCH(G219, W:W, 0))*F219</f>
        <v>1.25</v>
      </c>
      <c r="I219" s="16">
        <f>IF(COUNTIF($W$3:$W$6, G219) &gt; 0, 0, 1)</f>
        <v>0</v>
      </c>
      <c r="J219" s="16">
        <f>IF(COUNTIF(W$3:W$5, G219) &gt; 0, 0, 1)</f>
        <v>0</v>
      </c>
      <c r="K219" s="17" t="s">
        <v>100</v>
      </c>
      <c r="L219" s="16" t="s">
        <v>20</v>
      </c>
      <c r="M219" s="13"/>
      <c r="N219" s="18"/>
      <c r="O219" s="18"/>
      <c r="P219" s="18"/>
      <c r="Q219" s="15"/>
      <c r="R219" s="15"/>
      <c r="S219" s="19"/>
    </row>
    <row r="220" spans="1:19" x14ac:dyDescent="0.35">
      <c r="A220" s="20">
        <v>93</v>
      </c>
      <c r="B220" t="s">
        <v>105</v>
      </c>
      <c r="C220" s="22" t="s">
        <v>106</v>
      </c>
      <c r="D220" t="s">
        <v>105</v>
      </c>
      <c r="E220" t="s">
        <v>105</v>
      </c>
      <c r="F220" s="14">
        <v>5</v>
      </c>
      <c r="G220" s="15" t="s">
        <v>27</v>
      </c>
      <c r="H220" s="16">
        <f>INDEX(X:X, MATCH(G220, W:W, 0))*F220</f>
        <v>1.25</v>
      </c>
      <c r="I220" s="16">
        <f>IF(COUNTIF($W$3:$W$6, G220) &gt; 0, 0, 1)</f>
        <v>0</v>
      </c>
      <c r="J220" s="16">
        <f>IF(COUNTIF(W$3:W$5, G220) &gt; 0, 0, 1)</f>
        <v>0</v>
      </c>
      <c r="K220" s="17"/>
      <c r="L220" s="16" t="s">
        <v>21</v>
      </c>
      <c r="M220" s="13"/>
      <c r="N220" s="18"/>
      <c r="O220" s="18"/>
      <c r="P220" s="18"/>
      <c r="Q220" s="15"/>
      <c r="R220" s="15"/>
      <c r="S220" s="19"/>
    </row>
    <row r="221" spans="1:19" x14ac:dyDescent="0.35">
      <c r="A221" s="20">
        <v>145</v>
      </c>
      <c r="B221" t="s">
        <v>105</v>
      </c>
      <c r="C221" s="22" t="s">
        <v>106</v>
      </c>
      <c r="D221" t="s">
        <v>105</v>
      </c>
      <c r="E221" t="s">
        <v>105</v>
      </c>
      <c r="F221" s="14">
        <v>5</v>
      </c>
      <c r="G221" s="15" t="s">
        <v>27</v>
      </c>
      <c r="H221" s="16">
        <f>INDEX(X:X, MATCH(G221, W:W, 0))*F221</f>
        <v>1.25</v>
      </c>
      <c r="I221" s="16">
        <f>IF(COUNTIF($W$3:$W$6, G221) &gt; 0, 0, 1)</f>
        <v>0</v>
      </c>
      <c r="J221" s="16">
        <f>IF(COUNTIF(W$3:W$5, G221) &gt; 0, 0, 1)</f>
        <v>0</v>
      </c>
      <c r="K221" s="17" t="s">
        <v>28</v>
      </c>
      <c r="L221" s="16" t="s">
        <v>21</v>
      </c>
      <c r="M221" s="13"/>
      <c r="N221" s="18"/>
      <c r="O221" s="18"/>
      <c r="P221" s="18"/>
      <c r="Q221" s="15"/>
      <c r="R221" s="15"/>
      <c r="S221" s="19"/>
    </row>
    <row r="222" spans="1:19" x14ac:dyDescent="0.35">
      <c r="A222" s="20">
        <v>182</v>
      </c>
      <c r="B222" t="s">
        <v>105</v>
      </c>
      <c r="C222" s="22" t="s">
        <v>106</v>
      </c>
      <c r="D222" t="s">
        <v>105</v>
      </c>
      <c r="E222" t="s">
        <v>105</v>
      </c>
      <c r="F222" s="14">
        <v>5</v>
      </c>
      <c r="G222" s="15" t="s">
        <v>27</v>
      </c>
      <c r="H222" s="16">
        <f>INDEX(X:X, MATCH(G222, W:W, 0))*F222</f>
        <v>1.25</v>
      </c>
      <c r="I222" s="16">
        <f>IF(COUNTIF($W$3:$W$6, G222) &gt; 0, 0, 1)</f>
        <v>0</v>
      </c>
      <c r="J222" s="16">
        <f>IF(COUNTIF(W$3:W$5, G222) &gt; 0, 0, 1)</f>
        <v>0</v>
      </c>
      <c r="K222" s="17"/>
      <c r="L222" s="16" t="s">
        <v>21</v>
      </c>
      <c r="M222" s="13"/>
      <c r="N222" s="18"/>
      <c r="O222" s="18"/>
      <c r="P222" s="18"/>
      <c r="Q222" s="15"/>
      <c r="R222" s="15"/>
      <c r="S222" s="19"/>
    </row>
    <row r="223" spans="1:19" x14ac:dyDescent="0.35">
      <c r="A223" s="20">
        <v>207</v>
      </c>
      <c r="B223" t="s">
        <v>105</v>
      </c>
      <c r="C223" s="22" t="s">
        <v>106</v>
      </c>
      <c r="D223" t="s">
        <v>105</v>
      </c>
      <c r="E223" t="s">
        <v>105</v>
      </c>
      <c r="F223" s="14">
        <v>5</v>
      </c>
      <c r="G223" s="15" t="s">
        <v>27</v>
      </c>
      <c r="H223" s="16">
        <f>INDEX(X:X, MATCH(G223, W:W, 0))*F223</f>
        <v>1.25</v>
      </c>
      <c r="I223" s="16">
        <f>IF(COUNTIF($W$3:$W$6, G223) &gt; 0, 0, 1)</f>
        <v>0</v>
      </c>
      <c r="J223" s="16">
        <f>IF(COUNTIF(W$3:W$5, G223) &gt; 0, 0, 1)</f>
        <v>0</v>
      </c>
      <c r="K223" s="17"/>
      <c r="L223" s="16" t="s">
        <v>20</v>
      </c>
      <c r="M223" s="13"/>
      <c r="N223" s="18"/>
      <c r="O223" s="18"/>
      <c r="P223" s="18"/>
      <c r="Q223" s="15"/>
      <c r="R223" s="15"/>
      <c r="S223" s="19"/>
    </row>
    <row r="224" spans="1:19" x14ac:dyDescent="0.35">
      <c r="A224" s="20">
        <v>260</v>
      </c>
      <c r="B224" t="s">
        <v>105</v>
      </c>
      <c r="C224" s="22" t="s">
        <v>106</v>
      </c>
      <c r="D224" t="s">
        <v>105</v>
      </c>
      <c r="E224" t="s">
        <v>105</v>
      </c>
      <c r="F224" s="14">
        <v>20</v>
      </c>
      <c r="G224" s="15" t="s">
        <v>27</v>
      </c>
      <c r="H224" s="16">
        <f>INDEX(X:X, MATCH(G224, W:W, 0))*F224</f>
        <v>5</v>
      </c>
      <c r="I224" s="16">
        <f>IF(COUNTIF($W$3:$W$6, G224) &gt; 0, 0, 1)</f>
        <v>0</v>
      </c>
      <c r="J224" s="16">
        <f>IF(COUNTIF(W$3:W$5, G224) &gt; 0, 0, 1)</f>
        <v>0</v>
      </c>
      <c r="K224" s="17"/>
      <c r="L224" s="16" t="s">
        <v>21</v>
      </c>
      <c r="M224" s="13"/>
      <c r="N224" s="18"/>
      <c r="O224" s="18"/>
      <c r="P224" s="18"/>
      <c r="Q224" s="15"/>
      <c r="R224" s="15"/>
      <c r="S224" s="19"/>
    </row>
    <row r="225" spans="1:19" x14ac:dyDescent="0.35">
      <c r="A225" s="20">
        <v>394</v>
      </c>
      <c r="B225" t="s">
        <v>105</v>
      </c>
      <c r="C225" s="22" t="s">
        <v>106</v>
      </c>
      <c r="D225" t="s">
        <v>105</v>
      </c>
      <c r="E225" t="s">
        <v>105</v>
      </c>
      <c r="F225" s="14">
        <v>5</v>
      </c>
      <c r="G225" s="15" t="s">
        <v>27</v>
      </c>
      <c r="H225" s="16">
        <f>INDEX(X:X, MATCH(G225, W:W, 0))*F225</f>
        <v>1.25</v>
      </c>
      <c r="I225" s="16">
        <f>IF(COUNTIF($W$3:$W$6, G225) &gt; 0, 0, 1)</f>
        <v>0</v>
      </c>
      <c r="J225" s="16">
        <f>IF(COUNTIF(W$3:W$5, G225) &gt; 0, 0, 1)</f>
        <v>0</v>
      </c>
      <c r="K225" s="17"/>
      <c r="L225" s="16" t="s">
        <v>21</v>
      </c>
      <c r="M225" s="13"/>
      <c r="N225" s="18"/>
      <c r="O225" s="18"/>
      <c r="P225" s="18"/>
      <c r="Q225" s="15"/>
      <c r="R225" s="15"/>
      <c r="S225" s="19"/>
    </row>
    <row r="226" spans="1:19" x14ac:dyDescent="0.35">
      <c r="A226" s="20">
        <v>463</v>
      </c>
      <c r="B226" t="s">
        <v>105</v>
      </c>
      <c r="C226" s="22" t="s">
        <v>106</v>
      </c>
      <c r="D226" t="s">
        <v>105</v>
      </c>
      <c r="E226" t="s">
        <v>105</v>
      </c>
      <c r="F226" s="14">
        <v>5</v>
      </c>
      <c r="G226" s="15" t="s">
        <v>27</v>
      </c>
      <c r="H226" s="16">
        <f>INDEX(X:X, MATCH(G226, W:W, 0))*F226</f>
        <v>1.25</v>
      </c>
      <c r="I226" s="16">
        <f>IF(COUNTIF($W$3:$W$6, G226) &gt; 0, 0, 1)</f>
        <v>0</v>
      </c>
      <c r="J226" s="16">
        <f>IF(COUNTIF(W$3:W$5, G226) &gt; 0, 0, 1)</f>
        <v>0</v>
      </c>
      <c r="K226" s="17"/>
      <c r="L226" s="16" t="s">
        <v>21</v>
      </c>
      <c r="M226" s="13"/>
      <c r="N226" s="18"/>
      <c r="O226" s="18"/>
      <c r="P226" s="18"/>
      <c r="Q226" s="15"/>
      <c r="R226" s="15"/>
      <c r="S226" s="19"/>
    </row>
    <row r="227" spans="1:19" x14ac:dyDescent="0.35">
      <c r="A227" s="20">
        <v>469</v>
      </c>
      <c r="B227" t="s">
        <v>105</v>
      </c>
      <c r="C227" s="22" t="s">
        <v>106</v>
      </c>
      <c r="D227" t="s">
        <v>105</v>
      </c>
      <c r="E227" t="s">
        <v>105</v>
      </c>
      <c r="F227" s="14">
        <v>5</v>
      </c>
      <c r="G227" s="15" t="s">
        <v>27</v>
      </c>
      <c r="H227" s="16">
        <f>INDEX(X:X, MATCH(G227, W:W, 0))*F227</f>
        <v>1.25</v>
      </c>
      <c r="I227" s="16">
        <f>IF(COUNTIF($W$3:$W$6, G227) &gt; 0, 0, 1)</f>
        <v>0</v>
      </c>
      <c r="J227" s="16">
        <f>IF(COUNTIF(W$3:W$5, G227) &gt; 0, 0, 1)</f>
        <v>0</v>
      </c>
      <c r="K227" s="17"/>
      <c r="L227" s="16" t="s">
        <v>21</v>
      </c>
      <c r="M227" s="13"/>
      <c r="N227" s="18"/>
      <c r="O227" s="18"/>
      <c r="P227" s="18"/>
      <c r="Q227" s="15"/>
      <c r="R227" s="15"/>
      <c r="S227" s="19"/>
    </row>
    <row r="228" spans="1:19" x14ac:dyDescent="0.35">
      <c r="A228" s="20">
        <v>483</v>
      </c>
      <c r="B228" t="s">
        <v>105</v>
      </c>
      <c r="C228" s="22" t="s">
        <v>106</v>
      </c>
      <c r="D228" t="s">
        <v>105</v>
      </c>
      <c r="E228" t="s">
        <v>105</v>
      </c>
      <c r="F228" s="14">
        <v>5</v>
      </c>
      <c r="G228" s="15" t="s">
        <v>27</v>
      </c>
      <c r="H228" s="16">
        <f>INDEX(X:X, MATCH(G228, W:W, 0))*F228</f>
        <v>1.25</v>
      </c>
      <c r="I228" s="16">
        <f>IF(COUNTIF($W$3:$W$6, G228) &gt; 0, 0, 1)</f>
        <v>0</v>
      </c>
      <c r="J228" s="16">
        <f>IF(COUNTIF(W$3:W$5, G228) &gt; 0, 0, 1)</f>
        <v>0</v>
      </c>
      <c r="K228" s="17" t="s">
        <v>40</v>
      </c>
      <c r="L228" s="16" t="s">
        <v>21</v>
      </c>
      <c r="M228" s="13"/>
      <c r="N228" s="18"/>
      <c r="O228" s="18"/>
      <c r="P228" s="18"/>
      <c r="Q228" s="15"/>
      <c r="R228" s="15"/>
      <c r="S228" s="19"/>
    </row>
    <row r="229" spans="1:19" x14ac:dyDescent="0.35">
      <c r="A229" s="20">
        <v>509</v>
      </c>
      <c r="B229" t="s">
        <v>105</v>
      </c>
      <c r="C229" s="22" t="s">
        <v>106</v>
      </c>
      <c r="D229" t="s">
        <v>105</v>
      </c>
      <c r="E229" t="s">
        <v>105</v>
      </c>
      <c r="F229" s="14">
        <v>5</v>
      </c>
      <c r="G229" s="15" t="s">
        <v>27</v>
      </c>
      <c r="H229" s="16">
        <f>INDEX(X:X, MATCH(G229, W:W, 0))*F229</f>
        <v>1.25</v>
      </c>
      <c r="I229" s="16">
        <f>IF(COUNTIF($W$3:$W$6, G229) &gt; 0, 0, 1)</f>
        <v>0</v>
      </c>
      <c r="J229" s="16">
        <f>IF(COUNTIF(W$3:W$5, G229) &gt; 0, 0, 1)</f>
        <v>0</v>
      </c>
      <c r="K229" s="17"/>
      <c r="L229" s="16" t="s">
        <v>21</v>
      </c>
      <c r="M229" s="13"/>
      <c r="N229" s="18"/>
      <c r="O229" s="18"/>
      <c r="P229" s="18"/>
      <c r="Q229" s="15"/>
      <c r="R229" s="15"/>
      <c r="S229" s="19"/>
    </row>
    <row r="230" spans="1:19" x14ac:dyDescent="0.35">
      <c r="A230" s="20">
        <v>519</v>
      </c>
      <c r="B230" t="s">
        <v>105</v>
      </c>
      <c r="C230" s="22" t="s">
        <v>106</v>
      </c>
      <c r="D230" t="s">
        <v>105</v>
      </c>
      <c r="E230" t="s">
        <v>105</v>
      </c>
      <c r="F230" s="14">
        <v>5</v>
      </c>
      <c r="G230" s="15" t="s">
        <v>27</v>
      </c>
      <c r="H230" s="16">
        <f>INDEX(X:X, MATCH(G230, W:W, 0))*F230</f>
        <v>1.25</v>
      </c>
      <c r="I230" s="16">
        <f>IF(COUNTIF($W$3:$W$6, G230) &gt; 0, 0, 1)</f>
        <v>0</v>
      </c>
      <c r="J230" s="16">
        <f>IF(COUNTIF(W$3:W$5, G230) &gt; 0, 0, 1)</f>
        <v>0</v>
      </c>
      <c r="K230" s="17"/>
      <c r="L230" s="16" t="s">
        <v>21</v>
      </c>
      <c r="M230" s="13"/>
      <c r="N230" s="18"/>
      <c r="O230" s="18"/>
      <c r="P230" s="18"/>
      <c r="Q230" s="15"/>
      <c r="R230" s="15"/>
      <c r="S230" s="19"/>
    </row>
    <row r="231" spans="1:19" x14ac:dyDescent="0.35">
      <c r="A231" s="20">
        <v>541</v>
      </c>
      <c r="B231" t="s">
        <v>105</v>
      </c>
      <c r="C231" s="22" t="s">
        <v>106</v>
      </c>
      <c r="D231" t="s">
        <v>105</v>
      </c>
      <c r="E231" t="s">
        <v>105</v>
      </c>
      <c r="F231" s="14">
        <v>5</v>
      </c>
      <c r="G231" s="15" t="s">
        <v>27</v>
      </c>
      <c r="H231" s="16">
        <f>INDEX(X:X, MATCH(G231, W:W, 0))*F231</f>
        <v>1.25</v>
      </c>
      <c r="I231" s="16">
        <f>IF(COUNTIF($W$3:$W$6, G231) &gt; 0, 0, 1)</f>
        <v>0</v>
      </c>
      <c r="J231" s="16">
        <f>IF(COUNTIF(W$3:W$5, G231) &gt; 0, 0, 1)</f>
        <v>0</v>
      </c>
      <c r="K231" s="17"/>
      <c r="L231" s="16" t="s">
        <v>21</v>
      </c>
      <c r="M231" s="13"/>
      <c r="N231" s="18"/>
      <c r="O231" s="18"/>
      <c r="P231" s="18"/>
      <c r="Q231" s="15"/>
      <c r="R231" s="15"/>
      <c r="S231" s="19"/>
    </row>
    <row r="232" spans="1:19" x14ac:dyDescent="0.35">
      <c r="A232" s="20">
        <v>586</v>
      </c>
      <c r="B232" t="s">
        <v>105</v>
      </c>
      <c r="C232" s="22" t="s">
        <v>106</v>
      </c>
      <c r="D232" t="s">
        <v>105</v>
      </c>
      <c r="E232" t="s">
        <v>105</v>
      </c>
      <c r="F232" s="14">
        <v>5</v>
      </c>
      <c r="G232" s="15" t="s">
        <v>27</v>
      </c>
      <c r="H232" s="16">
        <f>INDEX(X:X, MATCH(G232, W:W, 0))*F232</f>
        <v>1.25</v>
      </c>
      <c r="I232" s="16">
        <f>IF(COUNTIF($W$3:$W$6, G232) &gt; 0, 0, 1)</f>
        <v>0</v>
      </c>
      <c r="J232" s="16">
        <f>IF(COUNTIF(W$3:W$5, G232) &gt; 0, 0, 1)</f>
        <v>0</v>
      </c>
      <c r="K232" s="17"/>
      <c r="L232" s="16" t="s">
        <v>21</v>
      </c>
      <c r="M232" s="13"/>
      <c r="N232" s="18"/>
      <c r="O232" s="18"/>
      <c r="P232" s="18"/>
      <c r="Q232" s="15"/>
      <c r="R232" s="15"/>
      <c r="S232" s="19"/>
    </row>
    <row r="233" spans="1:19" x14ac:dyDescent="0.35">
      <c r="A233" s="20">
        <v>639</v>
      </c>
      <c r="B233" t="s">
        <v>105</v>
      </c>
      <c r="C233" s="22" t="s">
        <v>106</v>
      </c>
      <c r="D233" t="s">
        <v>105</v>
      </c>
      <c r="E233" t="s">
        <v>105</v>
      </c>
      <c r="F233" s="14">
        <v>5</v>
      </c>
      <c r="G233" s="15" t="s">
        <v>27</v>
      </c>
      <c r="H233" s="16">
        <f>INDEX(X:X, MATCH(G233, W:W, 0))*F233</f>
        <v>1.25</v>
      </c>
      <c r="I233" s="16">
        <f>IF(COUNTIF($W$3:$W$6, G233) &gt; 0, 0, 1)</f>
        <v>0</v>
      </c>
      <c r="J233" s="16">
        <f>IF(COUNTIF(W$3:W$5, G233) &gt; 0, 0, 1)</f>
        <v>0</v>
      </c>
      <c r="K233" s="17"/>
      <c r="L233" s="16" t="s">
        <v>21</v>
      </c>
      <c r="M233" s="13"/>
      <c r="N233" s="18"/>
      <c r="O233" s="18"/>
      <c r="P233" s="18"/>
      <c r="Q233" s="15"/>
      <c r="R233" s="15"/>
      <c r="S233" s="19"/>
    </row>
    <row r="234" spans="1:19" x14ac:dyDescent="0.35">
      <c r="A234" s="20">
        <v>670</v>
      </c>
      <c r="B234" t="s">
        <v>105</v>
      </c>
      <c r="C234" s="22" t="s">
        <v>106</v>
      </c>
      <c r="D234" t="s">
        <v>105</v>
      </c>
      <c r="E234" t="s">
        <v>105</v>
      </c>
      <c r="F234" s="14">
        <v>5</v>
      </c>
      <c r="G234" s="15" t="s">
        <v>27</v>
      </c>
      <c r="H234" s="16">
        <f>INDEX(X:X, MATCH(G234, W:W, 0))*F234</f>
        <v>1.25</v>
      </c>
      <c r="I234" s="16">
        <f>IF(COUNTIF($W$3:$W$6, G234) &gt; 0, 0, 1)</f>
        <v>0</v>
      </c>
      <c r="J234" s="16">
        <f>IF(COUNTIF(W$3:W$5, G234) &gt; 0, 0, 1)</f>
        <v>0</v>
      </c>
      <c r="K234" s="17"/>
      <c r="L234" s="16" t="s">
        <v>20</v>
      </c>
      <c r="M234" s="13"/>
      <c r="N234" s="18"/>
      <c r="O234" s="18"/>
      <c r="P234" s="18"/>
      <c r="Q234" s="15"/>
      <c r="R234" s="15"/>
      <c r="S234" s="19"/>
    </row>
    <row r="235" spans="1:19" x14ac:dyDescent="0.35">
      <c r="A235" s="20">
        <v>674</v>
      </c>
      <c r="B235" t="s">
        <v>105</v>
      </c>
      <c r="C235" s="22" t="s">
        <v>106</v>
      </c>
      <c r="D235" t="s">
        <v>105</v>
      </c>
      <c r="E235" t="s">
        <v>105</v>
      </c>
      <c r="F235" s="14">
        <v>5</v>
      </c>
      <c r="G235" s="15" t="s">
        <v>27</v>
      </c>
      <c r="H235" s="16">
        <f>INDEX(X:X, MATCH(G235, W:W, 0))*F235</f>
        <v>1.25</v>
      </c>
      <c r="I235" s="16">
        <f>IF(COUNTIF($W$3:$W$6, G235) &gt; 0, 0, 1)</f>
        <v>0</v>
      </c>
      <c r="J235" s="16">
        <f>IF(COUNTIF(W$3:W$5, G235) &gt; 0, 0, 1)</f>
        <v>0</v>
      </c>
      <c r="K235" s="17"/>
      <c r="L235" s="16" t="s">
        <v>21</v>
      </c>
      <c r="M235" s="13"/>
      <c r="N235" s="18"/>
      <c r="O235" s="18"/>
      <c r="P235" s="18"/>
      <c r="Q235" s="15"/>
      <c r="R235" s="15"/>
      <c r="S235" s="19"/>
    </row>
    <row r="236" spans="1:19" x14ac:dyDescent="0.35">
      <c r="A236" s="20">
        <v>129</v>
      </c>
      <c r="B236" s="22" t="s">
        <v>106</v>
      </c>
      <c r="C236" s="22" t="s">
        <v>106</v>
      </c>
      <c r="D236" t="s">
        <v>105</v>
      </c>
      <c r="E236" t="s">
        <v>105</v>
      </c>
      <c r="F236" s="14">
        <v>10</v>
      </c>
      <c r="G236" s="15" t="s">
        <v>27</v>
      </c>
      <c r="H236" s="16">
        <f>INDEX(X:X, MATCH(G236, W:W, 0))*F236</f>
        <v>2.5</v>
      </c>
      <c r="I236" s="16">
        <f>IF(COUNTIF($W$3:$W$6, G236) &gt; 0, 0, 1)</f>
        <v>0</v>
      </c>
      <c r="J236" s="16">
        <f>IF(COUNTIF(W$3:W$5, G236) &gt; 0, 0, 1)</f>
        <v>0</v>
      </c>
      <c r="K236" s="17"/>
      <c r="L236" s="16" t="s">
        <v>20</v>
      </c>
      <c r="M236" s="13"/>
      <c r="N236" s="18"/>
      <c r="O236" s="18"/>
      <c r="P236" s="18"/>
      <c r="Q236" s="15"/>
      <c r="R236" s="15"/>
      <c r="S236" s="19"/>
    </row>
    <row r="237" spans="1:19" x14ac:dyDescent="0.35">
      <c r="A237" s="20">
        <v>313</v>
      </c>
      <c r="B237" s="22" t="s">
        <v>106</v>
      </c>
      <c r="C237" s="22" t="s">
        <v>106</v>
      </c>
      <c r="D237" t="s">
        <v>105</v>
      </c>
      <c r="E237" t="s">
        <v>105</v>
      </c>
      <c r="F237" s="14">
        <v>5</v>
      </c>
      <c r="G237" s="15" t="s">
        <v>27</v>
      </c>
      <c r="H237" s="16">
        <f>INDEX(X:X, MATCH(G237, W:W, 0))*F237</f>
        <v>1.25</v>
      </c>
      <c r="I237" s="16">
        <f>IF(COUNTIF($W$3:$W$6, G237) &gt; 0, 0, 1)</f>
        <v>0</v>
      </c>
      <c r="J237" s="16">
        <f>IF(COUNTIF(W$3:W$5, G237) &gt; 0, 0, 1)</f>
        <v>0</v>
      </c>
      <c r="K237" s="17"/>
      <c r="L237" s="16" t="s">
        <v>21</v>
      </c>
      <c r="M237" s="13"/>
      <c r="N237" s="18"/>
      <c r="O237" s="18"/>
      <c r="P237" s="18"/>
      <c r="Q237" s="15"/>
      <c r="R237" s="15"/>
      <c r="S237" s="19"/>
    </row>
    <row r="238" spans="1:19" x14ac:dyDescent="0.35">
      <c r="A238" s="20">
        <v>576</v>
      </c>
      <c r="B238" s="22" t="s">
        <v>106</v>
      </c>
      <c r="C238" s="22" t="s">
        <v>106</v>
      </c>
      <c r="D238" t="s">
        <v>105</v>
      </c>
      <c r="E238" t="s">
        <v>105</v>
      </c>
      <c r="F238" s="14">
        <v>10</v>
      </c>
      <c r="G238" s="15" t="s">
        <v>27</v>
      </c>
      <c r="H238" s="16">
        <f>INDEX(X:X, MATCH(G238, W:W, 0))*F238</f>
        <v>2.5</v>
      </c>
      <c r="I238" s="16">
        <f>IF(COUNTIF($W$3:$W$6, G238) &gt; 0, 0, 1)</f>
        <v>0</v>
      </c>
      <c r="J238" s="16">
        <f>IF(COUNTIF(W$3:W$5, G238) &gt; 0, 0, 1)</f>
        <v>0</v>
      </c>
      <c r="K238" s="17"/>
      <c r="L238" s="16" t="s">
        <v>21</v>
      </c>
      <c r="M238" s="13"/>
      <c r="N238" s="18"/>
      <c r="O238" s="18"/>
      <c r="P238" s="18"/>
      <c r="Q238" s="15"/>
      <c r="R238" s="15"/>
      <c r="S238" s="19"/>
    </row>
    <row r="239" spans="1:19" x14ac:dyDescent="0.35">
      <c r="A239" s="20">
        <v>501</v>
      </c>
      <c r="B239" t="s">
        <v>105</v>
      </c>
      <c r="C239" s="22" t="s">
        <v>106</v>
      </c>
      <c r="D239" s="22" t="s">
        <v>106</v>
      </c>
      <c r="E239" t="s">
        <v>105</v>
      </c>
      <c r="F239" s="14">
        <v>5</v>
      </c>
      <c r="G239" s="15" t="s">
        <v>27</v>
      </c>
      <c r="H239" s="16">
        <f>INDEX(X:X, MATCH(G239, W:W, 0))*F239</f>
        <v>1.25</v>
      </c>
      <c r="I239" s="16">
        <f>IF(COUNTIF($W$3:$W$6, G239) &gt; 0, 0, 1)</f>
        <v>0</v>
      </c>
      <c r="J239" s="16">
        <f>IF(COUNTIF(W$3:W$5, G239) &gt; 0, 0, 1)</f>
        <v>0</v>
      </c>
      <c r="K239" s="17"/>
      <c r="L239" s="16" t="s">
        <v>21</v>
      </c>
      <c r="M239" s="13"/>
      <c r="N239" s="18"/>
      <c r="O239" s="18"/>
      <c r="P239" s="18"/>
      <c r="Q239" s="15"/>
      <c r="R239" s="15"/>
      <c r="S239" s="19"/>
    </row>
    <row r="240" spans="1:19" x14ac:dyDescent="0.35">
      <c r="A240" s="20">
        <v>512</v>
      </c>
      <c r="B240" t="s">
        <v>105</v>
      </c>
      <c r="C240" s="22" t="s">
        <v>106</v>
      </c>
      <c r="D240" s="22" t="s">
        <v>106</v>
      </c>
      <c r="E240" t="s">
        <v>105</v>
      </c>
      <c r="F240" s="14">
        <v>5</v>
      </c>
      <c r="G240" s="15" t="s">
        <v>27</v>
      </c>
      <c r="H240" s="16">
        <f>INDEX(X:X, MATCH(G240, W:W, 0))*F240</f>
        <v>1.25</v>
      </c>
      <c r="I240" s="16">
        <f>IF(COUNTIF($W$3:$W$6, G240) &gt; 0, 0, 1)</f>
        <v>0</v>
      </c>
      <c r="J240" s="16">
        <f>IF(COUNTIF(W$3:W$5, G240) &gt; 0, 0, 1)</f>
        <v>0</v>
      </c>
      <c r="K240" s="17"/>
      <c r="L240" s="16" t="s">
        <v>20</v>
      </c>
      <c r="M240" s="13"/>
      <c r="N240" s="18"/>
      <c r="O240" s="18"/>
      <c r="P240" s="18"/>
      <c r="Q240" s="15"/>
      <c r="R240" s="15"/>
      <c r="S240" s="19"/>
    </row>
    <row r="241" spans="1:19" x14ac:dyDescent="0.35">
      <c r="A241" s="20">
        <v>20</v>
      </c>
      <c r="B241" s="22" t="s">
        <v>106</v>
      </c>
      <c r="C241" s="22" t="s">
        <v>106</v>
      </c>
      <c r="D241" s="22" t="s">
        <v>106</v>
      </c>
      <c r="E241" t="s">
        <v>105</v>
      </c>
      <c r="F241" s="14">
        <v>5</v>
      </c>
      <c r="G241" s="15" t="s">
        <v>27</v>
      </c>
      <c r="H241" s="16">
        <f>INDEX(X:X, MATCH(G241, W:W, 0))*F241</f>
        <v>1.25</v>
      </c>
      <c r="I241" s="16">
        <f>IF(COUNTIF($W$3:$W$6, G241) &gt; 0, 0, 1)</f>
        <v>0</v>
      </c>
      <c r="J241" s="16">
        <f>IF(COUNTIF(W$3:W$5, G241) &gt; 0, 0, 1)</f>
        <v>0</v>
      </c>
      <c r="K241" s="17"/>
      <c r="L241" s="16" t="s">
        <v>21</v>
      </c>
      <c r="M241" s="13"/>
      <c r="N241" s="18"/>
      <c r="O241" s="18"/>
      <c r="P241" s="18"/>
      <c r="Q241" s="15"/>
      <c r="R241" s="15"/>
      <c r="S241" s="19"/>
    </row>
    <row r="242" spans="1:19" x14ac:dyDescent="0.35">
      <c r="A242" s="20">
        <v>69</v>
      </c>
      <c r="B242" s="22" t="s">
        <v>106</v>
      </c>
      <c r="C242" s="22" t="s">
        <v>106</v>
      </c>
      <c r="D242" t="s">
        <v>105</v>
      </c>
      <c r="E242" t="s">
        <v>105</v>
      </c>
      <c r="F242" s="14">
        <v>95</v>
      </c>
      <c r="G242" s="15" t="s">
        <v>27</v>
      </c>
      <c r="H242" s="16">
        <f>INDEX(X:X, MATCH(G242, W:W, 0))*F242</f>
        <v>23.75</v>
      </c>
      <c r="I242" s="16">
        <f>IF(COUNTIF($W$3:$W$6, G242) &gt; 0, 0, 1)</f>
        <v>0</v>
      </c>
      <c r="J242" s="16">
        <f>IF(COUNTIF(W$3:W$5, G242) &gt; 0, 0, 1)</f>
        <v>0</v>
      </c>
      <c r="K242" s="17"/>
      <c r="L242" s="16" t="s">
        <v>21</v>
      </c>
      <c r="M242" s="13"/>
      <c r="N242" s="18"/>
      <c r="O242" s="18"/>
      <c r="P242" s="18"/>
      <c r="Q242" s="15"/>
      <c r="R242" s="15"/>
      <c r="S242" s="19"/>
    </row>
    <row r="243" spans="1:19" x14ac:dyDescent="0.35">
      <c r="A243" s="20">
        <v>170</v>
      </c>
      <c r="B243" t="s">
        <v>105</v>
      </c>
      <c r="C243" s="22" t="s">
        <v>106</v>
      </c>
      <c r="D243" t="s">
        <v>105</v>
      </c>
      <c r="E243" t="s">
        <v>63</v>
      </c>
      <c r="F243" s="14">
        <v>15</v>
      </c>
      <c r="G243" s="15" t="s">
        <v>24</v>
      </c>
      <c r="H243" s="16">
        <f>INDEX(X:X, MATCH(G243, W:W, 0))*F243</f>
        <v>13.125</v>
      </c>
      <c r="I243" s="16">
        <f>IF(COUNTIF($W$3:$W$6, G243) &gt; 0, 0, 1)</f>
        <v>1</v>
      </c>
      <c r="J243" s="16">
        <f>IF(COUNTIF(W$3:W$5, G243) &gt; 0, 0, 1)</f>
        <v>1</v>
      </c>
      <c r="K243" s="17" t="s">
        <v>25</v>
      </c>
      <c r="L243" s="16" t="s">
        <v>21</v>
      </c>
      <c r="M243" s="13"/>
      <c r="N243" s="18"/>
      <c r="O243" s="18"/>
      <c r="P243" s="18"/>
      <c r="Q243" s="15"/>
      <c r="R243" s="15"/>
      <c r="S243" s="19"/>
    </row>
    <row r="244" spans="1:19" x14ac:dyDescent="0.35">
      <c r="A244" s="20">
        <v>447</v>
      </c>
      <c r="B244" s="22" t="s">
        <v>106</v>
      </c>
      <c r="C244" s="22" t="s">
        <v>106</v>
      </c>
      <c r="D244" t="s">
        <v>105</v>
      </c>
      <c r="E244" t="s">
        <v>63</v>
      </c>
      <c r="F244" s="14">
        <v>25</v>
      </c>
      <c r="G244" s="15" t="s">
        <v>24</v>
      </c>
      <c r="H244" s="16">
        <f>INDEX(X:X, MATCH(G244, W:W, 0))*F244</f>
        <v>21.875</v>
      </c>
      <c r="I244" s="16">
        <f>IF(COUNTIF($W$3:$W$6, G244) &gt; 0, 0, 1)</f>
        <v>1</v>
      </c>
      <c r="J244" s="16">
        <f>IF(COUNTIF(W$3:W$5, G244) &gt; 0, 0, 1)</f>
        <v>1</v>
      </c>
      <c r="K244" s="17"/>
      <c r="L244" s="16" t="s">
        <v>21</v>
      </c>
      <c r="M244" s="13"/>
      <c r="N244" s="18"/>
      <c r="O244" s="18"/>
      <c r="P244" s="18"/>
      <c r="Q244" s="15"/>
      <c r="R244" s="15"/>
      <c r="S244" s="19"/>
    </row>
    <row r="245" spans="1:19" x14ac:dyDescent="0.35">
      <c r="A245" s="20">
        <v>503</v>
      </c>
      <c r="B245" t="s">
        <v>105</v>
      </c>
      <c r="C245" s="22" t="s">
        <v>106</v>
      </c>
      <c r="D245" t="s">
        <v>105</v>
      </c>
      <c r="E245" t="s">
        <v>80</v>
      </c>
      <c r="F245" s="48">
        <v>20</v>
      </c>
      <c r="G245" s="15" t="s">
        <v>24</v>
      </c>
      <c r="H245" s="16">
        <f>INDEX(X:X, MATCH(G245, W:W, 0))*F245</f>
        <v>17.5</v>
      </c>
      <c r="I245" s="16">
        <f>IF(COUNTIF($W$3:$W$6, G245) &gt; 0, 0, 1)</f>
        <v>1</v>
      </c>
      <c r="J245" s="16">
        <f>IF(COUNTIF(W$3:W$5, G245) &gt; 0, 0, 1)</f>
        <v>1</v>
      </c>
      <c r="K245" s="17"/>
      <c r="L245" s="48" t="s">
        <v>21</v>
      </c>
      <c r="M245" s="13"/>
      <c r="N245" s="18"/>
      <c r="O245" s="18"/>
      <c r="P245" s="18"/>
      <c r="Q245" s="15"/>
      <c r="R245" s="15"/>
      <c r="S245" s="19"/>
    </row>
    <row r="246" spans="1:19" x14ac:dyDescent="0.35">
      <c r="A246" s="20">
        <v>430</v>
      </c>
      <c r="B246" s="22" t="s">
        <v>106</v>
      </c>
      <c r="C246" s="22" t="s">
        <v>106</v>
      </c>
      <c r="D246" t="s">
        <v>105</v>
      </c>
      <c r="E246" t="s">
        <v>80</v>
      </c>
      <c r="F246" s="14">
        <v>25</v>
      </c>
      <c r="G246" s="15" t="s">
        <v>24</v>
      </c>
      <c r="H246" s="16">
        <f>INDEX(X:X, MATCH(G246, W:W, 0))*F246</f>
        <v>21.875</v>
      </c>
      <c r="I246" s="16">
        <f>IF(COUNTIF($W$3:$W$6, G246) &gt; 0, 0, 1)</f>
        <v>1</v>
      </c>
      <c r="J246" s="16">
        <f>IF(COUNTIF(W$3:W$5, G246) &gt; 0, 0, 1)</f>
        <v>1</v>
      </c>
      <c r="K246" s="17" t="s">
        <v>54</v>
      </c>
      <c r="L246" s="16" t="s">
        <v>21</v>
      </c>
      <c r="M246" s="13"/>
      <c r="N246" s="18"/>
      <c r="O246" s="18"/>
      <c r="P246" s="18"/>
      <c r="Q246" s="15"/>
      <c r="R246" s="15"/>
      <c r="S246" s="19"/>
    </row>
    <row r="247" spans="1:19" x14ac:dyDescent="0.35">
      <c r="A247" s="20">
        <v>432</v>
      </c>
      <c r="B247" s="22" t="s">
        <v>106</v>
      </c>
      <c r="C247" s="22" t="s">
        <v>106</v>
      </c>
      <c r="D247" t="s">
        <v>105</v>
      </c>
      <c r="E247" t="s">
        <v>80</v>
      </c>
      <c r="F247" s="14">
        <v>20</v>
      </c>
      <c r="G247" s="15" t="s">
        <v>24</v>
      </c>
      <c r="H247" s="16">
        <f>INDEX(X:X, MATCH(G247, W:W, 0))*F247</f>
        <v>17.5</v>
      </c>
      <c r="I247" s="16">
        <f>IF(COUNTIF($W$3:$W$6, G247) &gt; 0, 0, 1)</f>
        <v>1</v>
      </c>
      <c r="J247" s="16">
        <f>IF(COUNTIF(W$3:W$5, G247) &gt; 0, 0, 1)</f>
        <v>1</v>
      </c>
      <c r="K247" s="17" t="s">
        <v>34</v>
      </c>
      <c r="L247" s="16" t="s">
        <v>21</v>
      </c>
      <c r="M247" s="13"/>
      <c r="N247" s="18"/>
      <c r="O247" s="18"/>
      <c r="P247" s="18"/>
      <c r="Q247" s="15"/>
      <c r="R247" s="15"/>
      <c r="S247" s="19"/>
    </row>
    <row r="248" spans="1:19" x14ac:dyDescent="0.35">
      <c r="A248" s="20">
        <v>91</v>
      </c>
      <c r="B248" t="s">
        <v>105</v>
      </c>
      <c r="C248" t="s">
        <v>105</v>
      </c>
      <c r="D248" t="s">
        <v>105</v>
      </c>
      <c r="E248" t="s">
        <v>80</v>
      </c>
      <c r="F248" s="14">
        <v>30</v>
      </c>
      <c r="G248" s="15" t="s">
        <v>35</v>
      </c>
      <c r="H248" s="16">
        <f>INDEX(X:X, MATCH(G248, W:W, 0))*F248</f>
        <v>30</v>
      </c>
      <c r="I248" s="16">
        <f>IF(COUNTIF($W$3:$W$6, G248) &gt; 0, 0, 1)</f>
        <v>1</v>
      </c>
      <c r="J248" s="16">
        <f>IF(COUNTIF(W$3:W$5, G248) &gt; 0, 0, 1)</f>
        <v>1</v>
      </c>
      <c r="K248" s="17" t="s">
        <v>59</v>
      </c>
      <c r="L248" s="16" t="s">
        <v>22</v>
      </c>
      <c r="M248" s="13"/>
      <c r="N248" s="18"/>
      <c r="O248" s="18"/>
      <c r="P248" s="18"/>
      <c r="Q248" s="15"/>
      <c r="R248" s="15"/>
      <c r="S248" s="19"/>
    </row>
    <row r="249" spans="1:19" x14ac:dyDescent="0.35">
      <c r="A249" s="20">
        <v>660</v>
      </c>
      <c r="B249" t="s">
        <v>105</v>
      </c>
      <c r="C249" t="s">
        <v>105</v>
      </c>
      <c r="D249" t="s">
        <v>105</v>
      </c>
      <c r="E249" t="s">
        <v>80</v>
      </c>
      <c r="F249" s="14">
        <v>80</v>
      </c>
      <c r="G249" s="15" t="s">
        <v>35</v>
      </c>
      <c r="H249" s="16">
        <f>INDEX(X:X, MATCH(G249, W:W, 0))*F249</f>
        <v>80</v>
      </c>
      <c r="I249" s="16">
        <f>IF(COUNTIF($W$3:$W$6, G249) &gt; 0, 0, 1)</f>
        <v>1</v>
      </c>
      <c r="J249" s="16">
        <f>IF(COUNTIF(W$3:W$5, G249) &gt; 0, 0, 1)</f>
        <v>1</v>
      </c>
      <c r="K249" s="17"/>
      <c r="L249" s="16" t="s">
        <v>17</v>
      </c>
      <c r="M249" s="13"/>
      <c r="N249" s="18"/>
      <c r="O249" s="18"/>
      <c r="P249" s="18"/>
      <c r="Q249" s="15"/>
      <c r="R249" s="15"/>
      <c r="S249" s="19"/>
    </row>
    <row r="250" spans="1:19" x14ac:dyDescent="0.35">
      <c r="A250" s="20">
        <v>283</v>
      </c>
      <c r="B250" s="22" t="s">
        <v>106</v>
      </c>
      <c r="C250" t="s">
        <v>105</v>
      </c>
      <c r="D250" t="s">
        <v>105</v>
      </c>
      <c r="E250" t="s">
        <v>80</v>
      </c>
      <c r="F250" s="14">
        <v>60</v>
      </c>
      <c r="G250" s="15" t="s">
        <v>35</v>
      </c>
      <c r="H250" s="16">
        <f>INDEX(X:X, MATCH(G250, W:W, 0))*F250</f>
        <v>60</v>
      </c>
      <c r="I250" s="16">
        <f>IF(COUNTIF($W$3:$W$6, G250) &gt; 0, 0, 1)</f>
        <v>1</v>
      </c>
      <c r="J250" s="16">
        <f>IF(COUNTIF(W$3:W$5, G250) &gt; 0, 0, 1)</f>
        <v>1</v>
      </c>
      <c r="K250" s="17"/>
      <c r="L250" s="16" t="s">
        <v>22</v>
      </c>
      <c r="M250" s="13"/>
      <c r="N250" s="18"/>
      <c r="O250" s="18"/>
      <c r="P250" s="18"/>
      <c r="Q250" s="15"/>
      <c r="R250" s="15"/>
      <c r="S250" s="19"/>
    </row>
    <row r="251" spans="1:19" x14ac:dyDescent="0.35">
      <c r="A251" s="20">
        <v>351</v>
      </c>
      <c r="B251" s="22" t="s">
        <v>106</v>
      </c>
      <c r="C251" t="s">
        <v>105</v>
      </c>
      <c r="D251" t="s">
        <v>105</v>
      </c>
      <c r="E251" t="s">
        <v>80</v>
      </c>
      <c r="F251" s="14">
        <v>20</v>
      </c>
      <c r="G251" s="15" t="s">
        <v>35</v>
      </c>
      <c r="H251" s="16">
        <f>INDEX(X:X, MATCH(G251, W:W, 0))*F251</f>
        <v>20</v>
      </c>
      <c r="I251" s="16">
        <f>IF(COUNTIF($W$3:$W$6, G251) &gt; 0, 0, 1)</f>
        <v>1</v>
      </c>
      <c r="J251" s="16">
        <f>IF(COUNTIF(W$3:W$5, G251) &gt; 0, 0, 1)</f>
        <v>1</v>
      </c>
      <c r="K251" s="17"/>
      <c r="L251" s="16" t="s">
        <v>17</v>
      </c>
      <c r="M251" s="13"/>
      <c r="N251" s="18"/>
      <c r="O251" s="18"/>
      <c r="P251" s="18"/>
      <c r="Q251" s="15"/>
      <c r="R251" s="15"/>
      <c r="S251" s="19"/>
    </row>
    <row r="252" spans="1:19" x14ac:dyDescent="0.35">
      <c r="A252" s="20">
        <v>374</v>
      </c>
      <c r="B252" s="22" t="s">
        <v>106</v>
      </c>
      <c r="C252" t="s">
        <v>105</v>
      </c>
      <c r="D252" t="s">
        <v>105</v>
      </c>
      <c r="E252" t="s">
        <v>80</v>
      </c>
      <c r="F252" s="14">
        <v>60</v>
      </c>
      <c r="G252" s="15" t="s">
        <v>35</v>
      </c>
      <c r="H252" s="16">
        <f>INDEX(X:X, MATCH(G252, W:W, 0))*F252</f>
        <v>60</v>
      </c>
      <c r="I252" s="16">
        <f>IF(COUNTIF($W$3:$W$6, G252) &gt; 0, 0, 1)</f>
        <v>1</v>
      </c>
      <c r="J252" s="16">
        <f>IF(COUNTIF(W$3:W$5, G252) &gt; 0, 0, 1)</f>
        <v>1</v>
      </c>
      <c r="K252" s="17" t="s">
        <v>52</v>
      </c>
      <c r="L252" s="16" t="s">
        <v>22</v>
      </c>
      <c r="M252" s="13"/>
      <c r="N252" s="18"/>
      <c r="O252" s="18"/>
      <c r="P252" s="18"/>
      <c r="Q252" s="15"/>
      <c r="R252" s="15"/>
      <c r="S252" s="19"/>
    </row>
    <row r="253" spans="1:19" x14ac:dyDescent="0.35">
      <c r="A253" s="20">
        <v>52</v>
      </c>
      <c r="B253" t="s">
        <v>105</v>
      </c>
      <c r="C253" s="22" t="s">
        <v>106</v>
      </c>
      <c r="D253" t="s">
        <v>105</v>
      </c>
      <c r="E253" t="s">
        <v>80</v>
      </c>
      <c r="F253" s="14">
        <v>85</v>
      </c>
      <c r="G253" s="15" t="s">
        <v>35</v>
      </c>
      <c r="H253" s="16">
        <f>INDEX(X:X, MATCH(G253, W:W, 0))*F253</f>
        <v>85</v>
      </c>
      <c r="I253" s="16">
        <f>IF(COUNTIF($W$3:$W$6, G253) &gt; 0, 0, 1)</f>
        <v>1</v>
      </c>
      <c r="J253" s="16">
        <f>IF(COUNTIF(W$3:W$5, G253) &gt; 0, 0, 1)</f>
        <v>1</v>
      </c>
      <c r="K253" s="17" t="s">
        <v>65</v>
      </c>
      <c r="L253" s="16" t="s">
        <v>17</v>
      </c>
      <c r="M253" s="13"/>
      <c r="N253" s="18"/>
      <c r="O253" s="18"/>
      <c r="P253" s="18"/>
      <c r="Q253" s="15"/>
      <c r="R253" s="15"/>
      <c r="S253" s="19"/>
    </row>
    <row r="254" spans="1:19" x14ac:dyDescent="0.35">
      <c r="A254" s="20">
        <v>138</v>
      </c>
      <c r="B254" t="s">
        <v>105</v>
      </c>
      <c r="C254" s="22" t="s">
        <v>106</v>
      </c>
      <c r="D254" t="s">
        <v>105</v>
      </c>
      <c r="E254" t="s">
        <v>80</v>
      </c>
      <c r="F254" s="14">
        <v>90</v>
      </c>
      <c r="G254" s="15" t="s">
        <v>35</v>
      </c>
      <c r="H254" s="16">
        <f>INDEX(X:X, MATCH(G254, W:W, 0))*F254</f>
        <v>90</v>
      </c>
      <c r="I254" s="16">
        <f>IF(COUNTIF($W$3:$W$6, G254) &gt; 0, 0, 1)</f>
        <v>1</v>
      </c>
      <c r="J254" s="16">
        <f>IF(COUNTIF(W$3:W$5, G254) &gt; 0, 0, 1)</f>
        <v>1</v>
      </c>
      <c r="K254" s="17" t="s">
        <v>33</v>
      </c>
      <c r="L254" s="16" t="s">
        <v>22</v>
      </c>
      <c r="M254" s="13"/>
      <c r="N254" s="18"/>
      <c r="O254" s="18"/>
      <c r="P254" s="18"/>
      <c r="Q254" s="15"/>
      <c r="R254" s="15"/>
      <c r="S254" s="19"/>
    </row>
    <row r="255" spans="1:19" x14ac:dyDescent="0.35">
      <c r="A255" s="20">
        <v>465</v>
      </c>
      <c r="B255" t="s">
        <v>105</v>
      </c>
      <c r="C255" s="22" t="s">
        <v>106</v>
      </c>
      <c r="D255" t="s">
        <v>105</v>
      </c>
      <c r="E255" t="s">
        <v>80</v>
      </c>
      <c r="F255" s="14">
        <v>80</v>
      </c>
      <c r="G255" s="15" t="s">
        <v>35</v>
      </c>
      <c r="H255" s="16">
        <f>INDEX(X:X, MATCH(G255, W:W, 0))*F255</f>
        <v>80</v>
      </c>
      <c r="I255" s="16">
        <f>IF(COUNTIF($W$3:$W$6, G255) &gt; 0, 0, 1)</f>
        <v>1</v>
      </c>
      <c r="J255" s="16">
        <f>IF(COUNTIF(W$3:W$5, G255) &gt; 0, 0, 1)</f>
        <v>1</v>
      </c>
      <c r="K255" s="17" t="s">
        <v>103</v>
      </c>
      <c r="L255" s="16" t="s">
        <v>17</v>
      </c>
      <c r="M255" s="13"/>
      <c r="N255" s="18"/>
      <c r="O255" s="18"/>
      <c r="P255" s="18"/>
      <c r="Q255" s="15"/>
      <c r="R255" s="15"/>
      <c r="S255" s="19"/>
    </row>
    <row r="256" spans="1:19" x14ac:dyDescent="0.35">
      <c r="A256" s="20">
        <v>653</v>
      </c>
      <c r="B256" t="s">
        <v>105</v>
      </c>
      <c r="C256" s="22" t="s">
        <v>106</v>
      </c>
      <c r="D256" t="s">
        <v>105</v>
      </c>
      <c r="E256" t="s">
        <v>80</v>
      </c>
      <c r="F256" s="14">
        <v>50</v>
      </c>
      <c r="G256" s="15" t="s">
        <v>35</v>
      </c>
      <c r="H256" s="16">
        <f>INDEX(X:X, MATCH(G256, W:W, 0))*F256</f>
        <v>50</v>
      </c>
      <c r="I256" s="16">
        <f>IF(COUNTIF($W$3:$W$6, G256) &gt; 0, 0, 1)</f>
        <v>1</v>
      </c>
      <c r="J256" s="16">
        <f>IF(COUNTIF(W$3:W$5, G256) &gt; 0, 0, 1)</f>
        <v>1</v>
      </c>
      <c r="K256" s="17"/>
      <c r="L256" s="16" t="s">
        <v>17</v>
      </c>
      <c r="M256" s="13"/>
      <c r="N256" s="18"/>
      <c r="O256" s="18"/>
      <c r="P256" s="18"/>
      <c r="Q256" s="15"/>
      <c r="R256" s="15"/>
      <c r="S256" s="19"/>
    </row>
    <row r="257" spans="1:19" x14ac:dyDescent="0.35">
      <c r="A257" s="20">
        <v>240</v>
      </c>
      <c r="B257" s="22" t="s">
        <v>106</v>
      </c>
      <c r="C257" s="22" t="s">
        <v>106</v>
      </c>
      <c r="D257" t="s">
        <v>105</v>
      </c>
      <c r="E257" t="s">
        <v>80</v>
      </c>
      <c r="F257" s="14">
        <v>75</v>
      </c>
      <c r="G257" s="15" t="s">
        <v>35</v>
      </c>
      <c r="H257" s="16">
        <f>INDEX(X:X, MATCH(G257, W:W, 0))*F257</f>
        <v>75</v>
      </c>
      <c r="I257" s="16">
        <f>IF(COUNTIF($W$3:$W$6, G257) &gt; 0, 0, 1)</f>
        <v>1</v>
      </c>
      <c r="J257" s="16">
        <f>IF(COUNTIF(W$3:W$5, G257) &gt; 0, 0, 1)</f>
        <v>1</v>
      </c>
      <c r="K257" s="17" t="s">
        <v>77</v>
      </c>
      <c r="L257" s="16" t="s">
        <v>17</v>
      </c>
      <c r="M257" s="13"/>
      <c r="N257" s="18"/>
      <c r="O257" s="18"/>
      <c r="P257" s="18"/>
      <c r="Q257" s="15"/>
      <c r="R257" s="15"/>
      <c r="S257" s="19"/>
    </row>
    <row r="258" spans="1:19" x14ac:dyDescent="0.35">
      <c r="A258" s="20">
        <v>31</v>
      </c>
      <c r="B258" s="22" t="s">
        <v>106</v>
      </c>
      <c r="C258" s="22" t="s">
        <v>106</v>
      </c>
      <c r="D258" s="22" t="s">
        <v>106</v>
      </c>
      <c r="E258" t="s">
        <v>80</v>
      </c>
      <c r="F258" s="14">
        <v>80</v>
      </c>
      <c r="G258" s="15" t="s">
        <v>35</v>
      </c>
      <c r="H258" s="16">
        <f>INDEX(X:X, MATCH(G258, W:W, 0))*F258</f>
        <v>80</v>
      </c>
      <c r="I258" s="16">
        <f>IF(COUNTIF($W$3:$W$6, G258) &gt; 0, 0, 1)</f>
        <v>1</v>
      </c>
      <c r="J258" s="16">
        <f>IF(COUNTIF(W$3:W$5, G258) &gt; 0, 0, 1)</f>
        <v>1</v>
      </c>
      <c r="K258" s="17" t="s">
        <v>45</v>
      </c>
      <c r="L258" s="16" t="s">
        <v>17</v>
      </c>
      <c r="M258" s="13"/>
      <c r="N258" s="18"/>
      <c r="O258" s="18"/>
      <c r="P258" s="18"/>
      <c r="Q258" s="15"/>
      <c r="R258" s="15"/>
      <c r="S258" s="19"/>
    </row>
    <row r="259" spans="1:19" x14ac:dyDescent="0.35">
      <c r="A259" s="20">
        <v>258</v>
      </c>
      <c r="B259" t="s">
        <v>105</v>
      </c>
      <c r="C259" t="s">
        <v>105</v>
      </c>
      <c r="D259" t="s">
        <v>105</v>
      </c>
      <c r="E259" t="s">
        <v>80</v>
      </c>
      <c r="F259" s="14">
        <v>80</v>
      </c>
      <c r="G259" s="15" t="s">
        <v>35</v>
      </c>
      <c r="H259" s="16">
        <f>INDEX(X:X, MATCH(G259, W:W, 0))*F259</f>
        <v>80</v>
      </c>
      <c r="I259" s="16">
        <f>IF(COUNTIF($W$3:$W$6, G259) &gt; 0, 0, 1)</f>
        <v>1</v>
      </c>
      <c r="J259" s="16">
        <f>IF(COUNTIF(W$3:W$5, G259) &gt; 0, 0, 1)</f>
        <v>1</v>
      </c>
      <c r="K259" s="17" t="s">
        <v>71</v>
      </c>
      <c r="L259" s="16" t="s">
        <v>17</v>
      </c>
      <c r="M259" s="13"/>
      <c r="N259" s="18"/>
      <c r="O259" s="18"/>
      <c r="P259" s="18"/>
      <c r="Q259" s="15"/>
      <c r="R259" s="15"/>
      <c r="S259" s="19"/>
    </row>
    <row r="260" spans="1:19" x14ac:dyDescent="0.35">
      <c r="A260" s="20">
        <v>241</v>
      </c>
      <c r="B260" s="22" t="s">
        <v>106</v>
      </c>
      <c r="C260" t="s">
        <v>105</v>
      </c>
      <c r="D260" t="s">
        <v>105</v>
      </c>
      <c r="E260" t="s">
        <v>80</v>
      </c>
      <c r="F260" s="14">
        <v>50</v>
      </c>
      <c r="G260" s="15" t="s">
        <v>35</v>
      </c>
      <c r="H260" s="16">
        <f>INDEX(X:X, MATCH(G260, W:W, 0))*F260</f>
        <v>50</v>
      </c>
      <c r="I260" s="16">
        <f>IF(COUNTIF($W$3:$W$6, G260) &gt; 0, 0, 1)</f>
        <v>1</v>
      </c>
      <c r="J260" s="16">
        <f>IF(COUNTIF(W$3:W$5, G260) &gt; 0, 0, 1)</f>
        <v>1</v>
      </c>
      <c r="K260" s="17" t="s">
        <v>77</v>
      </c>
      <c r="L260" s="16" t="s">
        <v>17</v>
      </c>
      <c r="M260" s="13"/>
      <c r="N260" s="18"/>
      <c r="O260" s="18"/>
      <c r="P260" s="18"/>
      <c r="Q260" s="15"/>
      <c r="R260" s="15"/>
      <c r="S260" s="19"/>
    </row>
    <row r="261" spans="1:19" x14ac:dyDescent="0.35">
      <c r="A261" s="20">
        <v>276</v>
      </c>
      <c r="B261" s="22" t="s">
        <v>106</v>
      </c>
      <c r="C261" t="s">
        <v>105</v>
      </c>
      <c r="D261" t="s">
        <v>105</v>
      </c>
      <c r="E261" t="s">
        <v>80</v>
      </c>
      <c r="F261" s="14">
        <v>80</v>
      </c>
      <c r="G261" s="15" t="s">
        <v>35</v>
      </c>
      <c r="H261" s="16">
        <f>INDEX(X:X, MATCH(G261, W:W, 0))*F261</f>
        <v>80</v>
      </c>
      <c r="I261" s="16">
        <f>IF(COUNTIF($W$3:$W$6, G261) &gt; 0, 0, 1)</f>
        <v>1</v>
      </c>
      <c r="J261" s="16">
        <f>IF(COUNTIF(W$3:W$5, G261) &gt; 0, 0, 1)</f>
        <v>1</v>
      </c>
      <c r="K261" s="17" t="s">
        <v>57</v>
      </c>
      <c r="L261" s="16" t="s">
        <v>22</v>
      </c>
      <c r="M261" s="13"/>
      <c r="N261" s="18"/>
      <c r="O261" s="18"/>
      <c r="P261" s="18"/>
      <c r="Q261" s="15"/>
      <c r="R261" s="15"/>
      <c r="S261" s="19"/>
    </row>
    <row r="262" spans="1:19" x14ac:dyDescent="0.35">
      <c r="A262" s="20">
        <v>134</v>
      </c>
      <c r="B262" s="22" t="s">
        <v>106</v>
      </c>
      <c r="C262" s="22" t="s">
        <v>106</v>
      </c>
      <c r="D262" t="s">
        <v>105</v>
      </c>
      <c r="E262" t="s">
        <v>80</v>
      </c>
      <c r="F262" s="14">
        <v>20</v>
      </c>
      <c r="G262" s="15" t="s">
        <v>35</v>
      </c>
      <c r="H262" s="16">
        <f>INDEX(X:X, MATCH(G262, W:W, 0))*F262</f>
        <v>20</v>
      </c>
      <c r="I262" s="16">
        <f>IF(COUNTIF($W$3:$W$6, G262) &gt; 0, 0, 1)</f>
        <v>1</v>
      </c>
      <c r="J262" s="16">
        <f>IF(COUNTIF(W$3:W$5, G262) &gt; 0, 0, 1)</f>
        <v>1</v>
      </c>
      <c r="K262" s="17" t="s">
        <v>77</v>
      </c>
      <c r="L262" s="16" t="s">
        <v>17</v>
      </c>
      <c r="M262" s="13"/>
      <c r="N262" s="18"/>
      <c r="O262" s="18"/>
      <c r="P262" s="18"/>
      <c r="Q262" s="15"/>
      <c r="R262" s="15"/>
      <c r="S262" s="19"/>
    </row>
    <row r="263" spans="1:19" x14ac:dyDescent="0.35">
      <c r="A263" s="20">
        <v>141</v>
      </c>
      <c r="B263" s="22" t="s">
        <v>106</v>
      </c>
      <c r="C263" s="22" t="s">
        <v>106</v>
      </c>
      <c r="D263" t="s">
        <v>105</v>
      </c>
      <c r="E263" t="s">
        <v>80</v>
      </c>
      <c r="F263" s="14">
        <v>50</v>
      </c>
      <c r="G263" s="15" t="s">
        <v>35</v>
      </c>
      <c r="H263" s="16">
        <f>INDEX(X:X, MATCH(G263, W:W, 0))*F263</f>
        <v>50</v>
      </c>
      <c r="I263" s="16">
        <f>IF(COUNTIF($W$3:$W$6, G263) &gt; 0, 0, 1)</f>
        <v>1</v>
      </c>
      <c r="J263" s="16">
        <f>IF(COUNTIF(W$3:W$5, G263) &gt; 0, 0, 1)</f>
        <v>1</v>
      </c>
      <c r="K263" s="17" t="s">
        <v>77</v>
      </c>
      <c r="L263" s="16" t="s">
        <v>17</v>
      </c>
      <c r="M263" s="13"/>
      <c r="N263" s="18"/>
      <c r="O263" s="18"/>
      <c r="P263" s="18"/>
      <c r="Q263" s="15"/>
      <c r="R263" s="15"/>
      <c r="S263" s="19"/>
    </row>
    <row r="264" spans="1:19" x14ac:dyDescent="0.35">
      <c r="A264" s="20">
        <v>127</v>
      </c>
      <c r="B264" t="s">
        <v>105</v>
      </c>
      <c r="C264" t="s">
        <v>105</v>
      </c>
      <c r="D264" t="s">
        <v>105</v>
      </c>
      <c r="E264" t="s">
        <v>80</v>
      </c>
      <c r="F264" s="14">
        <v>50</v>
      </c>
      <c r="G264" s="15" t="s">
        <v>35</v>
      </c>
      <c r="H264" s="16">
        <f>INDEX(X:X, MATCH(G264, W:W, 0))*F264</f>
        <v>50</v>
      </c>
      <c r="I264" s="16">
        <f>IF(COUNTIF($W$3:$W$6, G264) &gt; 0, 0, 1)</f>
        <v>1</v>
      </c>
      <c r="J264" s="16">
        <f>IF(COUNTIF(W$3:W$5, G264) &gt; 0, 0, 1)</f>
        <v>1</v>
      </c>
      <c r="K264" s="17"/>
      <c r="L264" s="16" t="s">
        <v>17</v>
      </c>
      <c r="M264" s="13"/>
      <c r="N264" s="18"/>
      <c r="O264" s="18"/>
      <c r="P264" s="18"/>
      <c r="Q264" s="15"/>
      <c r="R264" s="15"/>
      <c r="S264" s="19"/>
    </row>
    <row r="265" spans="1:19" x14ac:dyDescent="0.35">
      <c r="A265" s="20">
        <v>132</v>
      </c>
      <c r="B265" t="s">
        <v>105</v>
      </c>
      <c r="C265" t="s">
        <v>105</v>
      </c>
      <c r="D265" t="s">
        <v>105</v>
      </c>
      <c r="E265" t="s">
        <v>80</v>
      </c>
      <c r="F265" s="14">
        <v>50</v>
      </c>
      <c r="G265" s="15" t="s">
        <v>35</v>
      </c>
      <c r="H265" s="16">
        <f>INDEX(X:X, MATCH(G265, W:W, 0))*F265</f>
        <v>50</v>
      </c>
      <c r="I265" s="16">
        <f>IF(COUNTIF($W$3:$W$6, G265) &gt; 0, 0, 1)</f>
        <v>1</v>
      </c>
      <c r="J265" s="16">
        <f>IF(COUNTIF(W$3:W$5, G265) &gt; 0, 0, 1)</f>
        <v>1</v>
      </c>
      <c r="K265" s="17"/>
      <c r="L265" s="16" t="s">
        <v>17</v>
      </c>
      <c r="M265" s="13"/>
      <c r="N265" s="18"/>
      <c r="O265" s="18"/>
      <c r="P265" s="18"/>
      <c r="Q265" s="15"/>
      <c r="R265" s="15"/>
      <c r="S265" s="19"/>
    </row>
    <row r="266" spans="1:19" x14ac:dyDescent="0.35">
      <c r="A266" s="20">
        <v>169</v>
      </c>
      <c r="B266" t="s">
        <v>105</v>
      </c>
      <c r="C266" t="s">
        <v>105</v>
      </c>
      <c r="D266" t="s">
        <v>105</v>
      </c>
      <c r="E266" t="s">
        <v>80</v>
      </c>
      <c r="F266" s="14">
        <v>25</v>
      </c>
      <c r="G266" s="15" t="s">
        <v>35</v>
      </c>
      <c r="H266" s="16">
        <f>INDEX(X:X, MATCH(G266, W:W, 0))*F266</f>
        <v>25</v>
      </c>
      <c r="I266" s="16">
        <f>IF(COUNTIF($W$3:$W$6, G266) &gt; 0, 0, 1)</f>
        <v>1</v>
      </c>
      <c r="J266" s="16">
        <f>IF(COUNTIF(W$3:W$5, G266) &gt; 0, 0, 1)</f>
        <v>1</v>
      </c>
      <c r="K266" s="17"/>
      <c r="L266" s="16" t="s">
        <v>17</v>
      </c>
      <c r="M266" s="13"/>
      <c r="N266" s="18"/>
      <c r="O266" s="18"/>
      <c r="P266" s="18"/>
      <c r="Q266" s="15"/>
      <c r="R266" s="15"/>
      <c r="S266" s="19"/>
    </row>
    <row r="267" spans="1:19" x14ac:dyDescent="0.35">
      <c r="A267" s="20">
        <v>298</v>
      </c>
      <c r="B267" t="s">
        <v>105</v>
      </c>
      <c r="C267" t="s">
        <v>105</v>
      </c>
      <c r="D267" t="s">
        <v>105</v>
      </c>
      <c r="E267" t="s">
        <v>80</v>
      </c>
      <c r="F267" s="14">
        <v>60</v>
      </c>
      <c r="G267" s="15" t="s">
        <v>35</v>
      </c>
      <c r="H267" s="16">
        <f>INDEX(X:X, MATCH(G267, W:W, 0))*F267</f>
        <v>60</v>
      </c>
      <c r="I267" s="16">
        <f>IF(COUNTIF($W$3:$W$6, G267) &gt; 0, 0, 1)</f>
        <v>1</v>
      </c>
      <c r="J267" s="16">
        <f>IF(COUNTIF(W$3:W$5, G267) &gt; 0, 0, 1)</f>
        <v>1</v>
      </c>
      <c r="K267" s="17"/>
      <c r="L267" s="16" t="s">
        <v>17</v>
      </c>
      <c r="M267" s="13"/>
      <c r="N267" s="18"/>
      <c r="O267" s="18"/>
      <c r="P267" s="18"/>
      <c r="Q267" s="15"/>
      <c r="R267" s="15"/>
      <c r="S267" s="19"/>
    </row>
    <row r="268" spans="1:19" x14ac:dyDescent="0.35">
      <c r="A268" s="20">
        <v>147</v>
      </c>
      <c r="B268" s="22" t="s">
        <v>106</v>
      </c>
      <c r="C268" t="s">
        <v>105</v>
      </c>
      <c r="D268" t="s">
        <v>105</v>
      </c>
      <c r="E268" t="s">
        <v>80</v>
      </c>
      <c r="F268" s="14">
        <v>50</v>
      </c>
      <c r="G268" s="15" t="s">
        <v>35</v>
      </c>
      <c r="H268" s="16">
        <f>INDEX(X:X, MATCH(G268, W:W, 0))*F268</f>
        <v>50</v>
      </c>
      <c r="I268" s="16">
        <f>IF(COUNTIF($W$3:$W$6, G268) &gt; 0, 0, 1)</f>
        <v>1</v>
      </c>
      <c r="J268" s="16">
        <f>IF(COUNTIF(W$3:W$5, G268) &gt; 0, 0, 1)</f>
        <v>1</v>
      </c>
      <c r="K268" s="17" t="s">
        <v>89</v>
      </c>
      <c r="L268" s="16" t="s">
        <v>17</v>
      </c>
      <c r="M268" s="13"/>
      <c r="N268" s="18"/>
      <c r="O268" s="18"/>
      <c r="P268" s="18"/>
      <c r="Q268" s="15"/>
      <c r="R268" s="15"/>
      <c r="S268" s="19"/>
    </row>
    <row r="269" spans="1:19" x14ac:dyDescent="0.35">
      <c r="A269" s="20">
        <v>237</v>
      </c>
      <c r="B269" s="22" t="s">
        <v>106</v>
      </c>
      <c r="C269" t="s">
        <v>105</v>
      </c>
      <c r="D269" t="s">
        <v>105</v>
      </c>
      <c r="E269" t="s">
        <v>80</v>
      </c>
      <c r="F269" s="14">
        <v>60</v>
      </c>
      <c r="G269" s="15" t="s">
        <v>35</v>
      </c>
      <c r="H269" s="16">
        <f>INDEX(X:X, MATCH(G269, W:W, 0))*F269</f>
        <v>60</v>
      </c>
      <c r="I269" s="16">
        <f>IF(COUNTIF($W$3:$W$6, G269) &gt; 0, 0, 1)</f>
        <v>1</v>
      </c>
      <c r="J269" s="16">
        <f>IF(COUNTIF(W$3:W$5, G269) &gt; 0, 0, 1)</f>
        <v>1</v>
      </c>
      <c r="K269" s="17" t="s">
        <v>84</v>
      </c>
      <c r="L269" s="16" t="s">
        <v>17</v>
      </c>
      <c r="M269" s="13"/>
      <c r="N269" s="18"/>
      <c r="O269" s="18"/>
      <c r="P269" s="18"/>
      <c r="Q269" s="15"/>
      <c r="R269" s="15"/>
      <c r="S269" s="19"/>
    </row>
    <row r="270" spans="1:19" x14ac:dyDescent="0.35">
      <c r="A270" s="20">
        <v>652</v>
      </c>
      <c r="B270" s="22" t="s">
        <v>106</v>
      </c>
      <c r="C270" t="s">
        <v>105</v>
      </c>
      <c r="D270" t="s">
        <v>105</v>
      </c>
      <c r="E270" t="s">
        <v>80</v>
      </c>
      <c r="F270" s="14">
        <v>15</v>
      </c>
      <c r="G270" s="15" t="s">
        <v>35</v>
      </c>
      <c r="H270" s="16">
        <f>INDEX(X:X, MATCH(G270, W:W, 0))*F270</f>
        <v>15</v>
      </c>
      <c r="I270" s="16">
        <f>IF(COUNTIF($W$3:$W$6, G270) &gt; 0, 0, 1)</f>
        <v>1</v>
      </c>
      <c r="J270" s="16">
        <f>IF(COUNTIF(W$3:W$5, G270) &gt; 0, 0, 1)</f>
        <v>1</v>
      </c>
      <c r="K270" s="17" t="s">
        <v>39</v>
      </c>
      <c r="L270" s="16" t="s">
        <v>17</v>
      </c>
      <c r="M270" s="13"/>
      <c r="N270" s="18"/>
      <c r="O270" s="18"/>
      <c r="P270" s="18"/>
      <c r="Q270" s="15"/>
      <c r="R270" s="15"/>
      <c r="S270" s="19"/>
    </row>
    <row r="271" spans="1:19" x14ac:dyDescent="0.35">
      <c r="A271" s="20">
        <v>217</v>
      </c>
      <c r="B271" t="s">
        <v>105</v>
      </c>
      <c r="C271" s="22" t="s">
        <v>106</v>
      </c>
      <c r="D271" t="s">
        <v>105</v>
      </c>
      <c r="E271" t="s">
        <v>80</v>
      </c>
      <c r="F271" s="14">
        <v>50</v>
      </c>
      <c r="G271" s="15" t="s">
        <v>35</v>
      </c>
      <c r="H271" s="16">
        <f>INDEX(X:X, MATCH(G271, W:W, 0))*F271</f>
        <v>50</v>
      </c>
      <c r="I271" s="16">
        <f>IF(COUNTIF($W$3:$W$6, G271) &gt; 0, 0, 1)</f>
        <v>1</v>
      </c>
      <c r="J271" s="16">
        <f>IF(COUNTIF(W$3:W$5, G271) &gt; 0, 0, 1)</f>
        <v>1</v>
      </c>
      <c r="K271" s="17" t="s">
        <v>94</v>
      </c>
      <c r="L271" s="16" t="s">
        <v>17</v>
      </c>
      <c r="M271" s="13"/>
      <c r="N271" s="18"/>
      <c r="O271" s="18"/>
      <c r="P271" s="18"/>
      <c r="Q271" s="15"/>
      <c r="R271" s="15"/>
      <c r="S271" s="19"/>
    </row>
    <row r="272" spans="1:19" x14ac:dyDescent="0.35">
      <c r="A272" s="20">
        <v>259</v>
      </c>
      <c r="B272" t="s">
        <v>105</v>
      </c>
      <c r="C272" s="22" t="s">
        <v>106</v>
      </c>
      <c r="D272" t="s">
        <v>105</v>
      </c>
      <c r="E272" t="s">
        <v>80</v>
      </c>
      <c r="F272" s="14">
        <v>80</v>
      </c>
      <c r="G272" s="15" t="s">
        <v>35</v>
      </c>
      <c r="H272" s="16">
        <f>INDEX(X:X, MATCH(G272, W:W, 0))*F272</f>
        <v>80</v>
      </c>
      <c r="I272" s="16">
        <f>IF(COUNTIF($W$3:$W$6, G272) &gt; 0, 0, 1)</f>
        <v>1</v>
      </c>
      <c r="J272" s="16">
        <f>IF(COUNTIF(W$3:W$5, G272) &gt; 0, 0, 1)</f>
        <v>1</v>
      </c>
      <c r="K272" s="17" t="s">
        <v>104</v>
      </c>
      <c r="L272" s="16" t="s">
        <v>17</v>
      </c>
      <c r="M272" s="13"/>
      <c r="N272" s="18"/>
      <c r="O272" s="18"/>
      <c r="P272" s="18"/>
      <c r="Q272" s="15"/>
      <c r="R272" s="15"/>
      <c r="S272" s="19"/>
    </row>
    <row r="273" spans="1:19" x14ac:dyDescent="0.35">
      <c r="A273" s="20">
        <v>651</v>
      </c>
      <c r="B273" t="s">
        <v>105</v>
      </c>
      <c r="C273" s="22" t="s">
        <v>106</v>
      </c>
      <c r="D273" t="s">
        <v>105</v>
      </c>
      <c r="E273" t="s">
        <v>80</v>
      </c>
      <c r="F273" s="14">
        <v>30</v>
      </c>
      <c r="G273" s="15" t="s">
        <v>35</v>
      </c>
      <c r="H273" s="16">
        <f>INDEX(X:X, MATCH(G273, W:W, 0))*F273</f>
        <v>30</v>
      </c>
      <c r="I273" s="16">
        <f>IF(COUNTIF($W$3:$W$6, G273) &gt; 0, 0, 1)</f>
        <v>1</v>
      </c>
      <c r="J273" s="16">
        <f>IF(COUNTIF(W$3:W$5, G273) &gt; 0, 0, 1)</f>
        <v>1</v>
      </c>
      <c r="K273" s="17" t="s">
        <v>39</v>
      </c>
      <c r="L273" s="16" t="s">
        <v>17</v>
      </c>
      <c r="M273" s="13"/>
      <c r="N273" s="18"/>
      <c r="O273" s="18"/>
      <c r="P273" s="18"/>
      <c r="Q273" s="15"/>
      <c r="R273" s="15"/>
      <c r="S273" s="19"/>
    </row>
    <row r="274" spans="1:19" x14ac:dyDescent="0.35">
      <c r="A274" s="20">
        <v>675</v>
      </c>
      <c r="B274" t="s">
        <v>105</v>
      </c>
      <c r="C274" s="22" t="s">
        <v>106</v>
      </c>
      <c r="D274" t="s">
        <v>105</v>
      </c>
      <c r="E274" t="s">
        <v>80</v>
      </c>
      <c r="F274" s="14">
        <v>50</v>
      </c>
      <c r="G274" s="15" t="s">
        <v>35</v>
      </c>
      <c r="H274" s="16">
        <f>INDEX(X:X, MATCH(G274, W:W, 0))*F274</f>
        <v>50</v>
      </c>
      <c r="I274" s="16">
        <f>IF(COUNTIF($W$3:$W$6, G274) &gt; 0, 0, 1)</f>
        <v>1</v>
      </c>
      <c r="J274" s="16">
        <f>IF(COUNTIF(W$3:W$5, G274) &gt; 0, 0, 1)</f>
        <v>1</v>
      </c>
      <c r="K274" s="17" t="s">
        <v>89</v>
      </c>
      <c r="L274" s="16" t="s">
        <v>22</v>
      </c>
      <c r="M274" s="13"/>
      <c r="N274" s="18"/>
      <c r="O274" s="18"/>
      <c r="P274" s="18"/>
      <c r="Q274" s="15"/>
      <c r="R274" s="15"/>
      <c r="S274" s="19"/>
    </row>
    <row r="275" spans="1:19" x14ac:dyDescent="0.35">
      <c r="A275" s="20">
        <v>208</v>
      </c>
      <c r="B275" s="22" t="s">
        <v>106</v>
      </c>
      <c r="C275" s="22" t="s">
        <v>106</v>
      </c>
      <c r="D275" t="s">
        <v>105</v>
      </c>
      <c r="E275" t="s">
        <v>80</v>
      </c>
      <c r="F275" s="14">
        <v>70</v>
      </c>
      <c r="G275" s="15" t="s">
        <v>35</v>
      </c>
      <c r="H275" s="16">
        <f>INDEX(X:X, MATCH(G275, W:W, 0))*F275</f>
        <v>70</v>
      </c>
      <c r="I275" s="16">
        <f>IF(COUNTIF($W$3:$W$6, G275) &gt; 0, 0, 1)</f>
        <v>1</v>
      </c>
      <c r="J275" s="16">
        <f>IF(COUNTIF(W$3:W$5, G275) &gt; 0, 0, 1)</f>
        <v>1</v>
      </c>
      <c r="K275" s="17" t="s">
        <v>36</v>
      </c>
      <c r="L275" s="16" t="s">
        <v>17</v>
      </c>
      <c r="M275" s="13"/>
      <c r="N275" s="18"/>
      <c r="O275" s="18"/>
      <c r="P275" s="18"/>
      <c r="Q275" s="15"/>
      <c r="R275" s="15"/>
      <c r="S275" s="19"/>
    </row>
    <row r="276" spans="1:19" x14ac:dyDescent="0.35">
      <c r="A276" s="20">
        <v>264</v>
      </c>
      <c r="B276" s="22" t="s">
        <v>106</v>
      </c>
      <c r="C276" s="22" t="s">
        <v>106</v>
      </c>
      <c r="D276" t="s">
        <v>105</v>
      </c>
      <c r="E276" t="s">
        <v>80</v>
      </c>
      <c r="F276" s="14">
        <v>80</v>
      </c>
      <c r="G276" s="15" t="s">
        <v>35</v>
      </c>
      <c r="H276" s="16">
        <f>INDEX(X:X, MATCH(G276, W:W, 0))*F276</f>
        <v>80</v>
      </c>
      <c r="I276" s="16">
        <f>IF(COUNTIF($W$3:$W$6, G276) &gt; 0, 0, 1)</f>
        <v>1</v>
      </c>
      <c r="J276" s="16">
        <f>IF(COUNTIF(W$3:W$5, G276) &gt; 0, 0, 1)</f>
        <v>1</v>
      </c>
      <c r="K276" s="17" t="s">
        <v>44</v>
      </c>
      <c r="L276" s="16" t="s">
        <v>17</v>
      </c>
      <c r="M276" s="13"/>
      <c r="N276" s="18"/>
      <c r="O276" s="18"/>
      <c r="P276" s="18"/>
      <c r="Q276" s="15"/>
      <c r="R276" s="15"/>
      <c r="S276" s="19"/>
    </row>
    <row r="277" spans="1:19" x14ac:dyDescent="0.35">
      <c r="A277" s="20">
        <v>429</v>
      </c>
      <c r="B277" s="22" t="s">
        <v>106</v>
      </c>
      <c r="C277" s="22" t="s">
        <v>106</v>
      </c>
      <c r="D277" t="s">
        <v>105</v>
      </c>
      <c r="E277" t="s">
        <v>80</v>
      </c>
      <c r="F277" s="14">
        <v>70</v>
      </c>
      <c r="G277" s="15" t="s">
        <v>35</v>
      </c>
      <c r="H277" s="16">
        <f>INDEX(X:X, MATCH(G277, W:W, 0))*F277</f>
        <v>70</v>
      </c>
      <c r="I277" s="16">
        <f>IF(COUNTIF($W$3:$W$6, G277) &gt; 0, 0, 1)</f>
        <v>1</v>
      </c>
      <c r="J277" s="16">
        <f>IF(COUNTIF(W$3:W$5, G277) &gt; 0, 0, 1)</f>
        <v>1</v>
      </c>
      <c r="K277" s="17" t="s">
        <v>33</v>
      </c>
      <c r="L277" s="16" t="s">
        <v>22</v>
      </c>
      <c r="M277" s="13"/>
      <c r="N277" s="18"/>
      <c r="O277" s="18"/>
      <c r="P277" s="18"/>
      <c r="Q277" s="15"/>
      <c r="R277" s="15"/>
      <c r="S277" s="19"/>
    </row>
    <row r="278" spans="1:19" x14ac:dyDescent="0.35">
      <c r="A278" s="20">
        <v>92</v>
      </c>
      <c r="B278" t="s">
        <v>105</v>
      </c>
      <c r="C278" s="22" t="s">
        <v>106</v>
      </c>
      <c r="D278" t="s">
        <v>105</v>
      </c>
      <c r="E278" t="s">
        <v>72</v>
      </c>
      <c r="F278" s="14">
        <v>50</v>
      </c>
      <c r="G278" s="15" t="s">
        <v>26</v>
      </c>
      <c r="H278" s="16">
        <f>INDEX(X:X, MATCH(G278, W:W, 0))*F278</f>
        <v>25</v>
      </c>
      <c r="I278" s="16">
        <f>IF(COUNTIF($W$3:$W$6, G278) &gt; 0, 0, 1)</f>
        <v>0</v>
      </c>
      <c r="J278" s="16">
        <f>IF(COUNTIF(W$3:W$5, G278) &gt; 0, 0, 1)</f>
        <v>0</v>
      </c>
      <c r="K278" s="17"/>
      <c r="L278" s="16" t="s">
        <v>17</v>
      </c>
      <c r="M278" s="13"/>
      <c r="N278" s="18"/>
      <c r="O278" s="18"/>
      <c r="P278" s="18"/>
      <c r="Q278" s="15"/>
      <c r="R278" s="15"/>
      <c r="S278" s="19"/>
    </row>
    <row r="279" spans="1:19" x14ac:dyDescent="0.35">
      <c r="A279" s="20">
        <v>106</v>
      </c>
      <c r="B279" t="s">
        <v>105</v>
      </c>
      <c r="C279" s="22" t="s">
        <v>106</v>
      </c>
      <c r="D279" t="s">
        <v>105</v>
      </c>
      <c r="E279" t="s">
        <v>72</v>
      </c>
      <c r="F279" s="14">
        <v>50</v>
      </c>
      <c r="G279" s="15" t="s">
        <v>26</v>
      </c>
      <c r="H279" s="16">
        <f>INDEX(X:X, MATCH(G279, W:W, 0))*F279</f>
        <v>25</v>
      </c>
      <c r="I279" s="16">
        <f>IF(COUNTIF($W$3:$W$6, G279) &gt; 0, 0, 1)</f>
        <v>0</v>
      </c>
      <c r="J279" s="16">
        <f>IF(COUNTIF(W$3:W$5, G279) &gt; 0, 0, 1)</f>
        <v>0</v>
      </c>
      <c r="K279" s="17"/>
      <c r="L279" s="16" t="s">
        <v>22</v>
      </c>
      <c r="M279" s="13"/>
      <c r="N279" s="18"/>
      <c r="O279" s="18"/>
      <c r="P279" s="18"/>
      <c r="Q279" s="15"/>
      <c r="R279" s="15"/>
      <c r="S279" s="19"/>
    </row>
    <row r="280" spans="1:19" x14ac:dyDescent="0.35">
      <c r="A280" s="20">
        <v>112</v>
      </c>
      <c r="B280" t="s">
        <v>105</v>
      </c>
      <c r="C280" s="22" t="s">
        <v>106</v>
      </c>
      <c r="D280" t="s">
        <v>105</v>
      </c>
      <c r="E280" t="s">
        <v>72</v>
      </c>
      <c r="F280" s="14">
        <v>50</v>
      </c>
      <c r="G280" s="15" t="s">
        <v>26</v>
      </c>
      <c r="H280" s="16">
        <f>INDEX(X:X, MATCH(G280, W:W, 0))*F280</f>
        <v>25</v>
      </c>
      <c r="I280" s="16">
        <f>IF(COUNTIF($W$3:$W$6, G280) &gt; 0, 0, 1)</f>
        <v>0</v>
      </c>
      <c r="J280" s="16">
        <f>IF(COUNTIF(W$3:W$5, G280) &gt; 0, 0, 1)</f>
        <v>0</v>
      </c>
      <c r="K280" s="17" t="s">
        <v>83</v>
      </c>
      <c r="L280" s="16" t="s">
        <v>17</v>
      </c>
      <c r="M280" s="13"/>
      <c r="N280" s="18"/>
      <c r="O280" s="18"/>
      <c r="P280" s="18"/>
      <c r="Q280" s="15"/>
      <c r="R280" s="15"/>
      <c r="S280" s="19"/>
    </row>
    <row r="281" spans="1:19" x14ac:dyDescent="0.35">
      <c r="A281" s="20">
        <v>137</v>
      </c>
      <c r="B281" t="s">
        <v>105</v>
      </c>
      <c r="C281" s="22" t="s">
        <v>106</v>
      </c>
      <c r="D281" t="s">
        <v>105</v>
      </c>
      <c r="E281" t="s">
        <v>72</v>
      </c>
      <c r="F281" s="14">
        <v>75</v>
      </c>
      <c r="G281" s="15" t="s">
        <v>26</v>
      </c>
      <c r="H281" s="16">
        <f>INDEX(X:X, MATCH(G281, W:W, 0))*F281</f>
        <v>37.5</v>
      </c>
      <c r="I281" s="16">
        <f>IF(COUNTIF($W$3:$W$6, G281) &gt; 0, 0, 1)</f>
        <v>0</v>
      </c>
      <c r="J281" s="16">
        <f>IF(COUNTIF(W$3:W$5, G281) &gt; 0, 0, 1)</f>
        <v>0</v>
      </c>
      <c r="K281" s="17" t="s">
        <v>93</v>
      </c>
      <c r="L281" s="16" t="s">
        <v>17</v>
      </c>
      <c r="M281" s="13"/>
      <c r="N281" s="18"/>
      <c r="O281" s="18"/>
      <c r="P281" s="18"/>
      <c r="Q281" s="15"/>
      <c r="R281" s="15"/>
      <c r="S281" s="19"/>
    </row>
    <row r="282" spans="1:19" x14ac:dyDescent="0.35">
      <c r="A282" s="20">
        <v>188</v>
      </c>
      <c r="B282" t="s">
        <v>105</v>
      </c>
      <c r="C282" s="22" t="s">
        <v>106</v>
      </c>
      <c r="D282" t="s">
        <v>105</v>
      </c>
      <c r="E282" t="s">
        <v>72</v>
      </c>
      <c r="F282" s="14">
        <v>10</v>
      </c>
      <c r="G282" s="15" t="s">
        <v>26</v>
      </c>
      <c r="H282" s="16">
        <f>INDEX(X:X, MATCH(G282, W:W, 0))*F282</f>
        <v>5</v>
      </c>
      <c r="I282" s="16">
        <f>IF(COUNTIF($W$3:$W$6, G282) &gt; 0, 0, 1)</f>
        <v>0</v>
      </c>
      <c r="J282" s="16">
        <f>IF(COUNTIF(W$3:W$5, G282) &gt; 0, 0, 1)</f>
        <v>0</v>
      </c>
      <c r="K282" s="17" t="s">
        <v>64</v>
      </c>
      <c r="L282" s="16" t="s">
        <v>17</v>
      </c>
      <c r="M282" s="13"/>
      <c r="N282" s="18"/>
      <c r="O282" s="18"/>
      <c r="P282" s="18"/>
      <c r="Q282" s="15"/>
      <c r="R282" s="15"/>
      <c r="S282" s="19"/>
    </row>
    <row r="283" spans="1:19" x14ac:dyDescent="0.35">
      <c r="A283" s="20">
        <v>395</v>
      </c>
      <c r="B283" t="s">
        <v>105</v>
      </c>
      <c r="C283" s="22" t="s">
        <v>106</v>
      </c>
      <c r="D283" t="s">
        <v>105</v>
      </c>
      <c r="E283" t="s">
        <v>72</v>
      </c>
      <c r="F283" s="14">
        <v>80</v>
      </c>
      <c r="G283" s="15" t="s">
        <v>26</v>
      </c>
      <c r="H283" s="16">
        <f>INDEX(X:X, MATCH(G283, W:W, 0))*F283</f>
        <v>40</v>
      </c>
      <c r="I283" s="16">
        <f>IF(COUNTIF($W$3:$W$6, G283) &gt; 0, 0, 1)</f>
        <v>0</v>
      </c>
      <c r="J283" s="16">
        <f>IF(COUNTIF(W$3:W$5, G283) &gt; 0, 0, 1)</f>
        <v>0</v>
      </c>
      <c r="K283" s="17" t="s">
        <v>58</v>
      </c>
      <c r="L283" s="16" t="s">
        <v>22</v>
      </c>
      <c r="M283" s="13"/>
      <c r="N283" s="18"/>
      <c r="O283" s="18"/>
      <c r="P283" s="18"/>
      <c r="Q283" s="15"/>
      <c r="R283" s="15"/>
      <c r="S283" s="19"/>
    </row>
    <row r="284" spans="1:19" x14ac:dyDescent="0.35">
      <c r="A284" s="20">
        <v>619</v>
      </c>
      <c r="B284" t="s">
        <v>105</v>
      </c>
      <c r="C284" s="22" t="s">
        <v>106</v>
      </c>
      <c r="D284" t="s">
        <v>105</v>
      </c>
      <c r="E284" t="s">
        <v>72</v>
      </c>
      <c r="F284" s="14">
        <v>80</v>
      </c>
      <c r="G284" s="15" t="s">
        <v>26</v>
      </c>
      <c r="H284" s="16">
        <f>INDEX(X:X, MATCH(G284, W:W, 0))*F284</f>
        <v>40</v>
      </c>
      <c r="I284" s="16">
        <f>IF(COUNTIF($W$3:$W$6, G284) &gt; 0, 0, 1)</f>
        <v>0</v>
      </c>
      <c r="J284" s="16">
        <f>IF(COUNTIF(W$3:W$5, G284) &gt; 0, 0, 1)</f>
        <v>0</v>
      </c>
      <c r="K284" s="17" t="s">
        <v>96</v>
      </c>
      <c r="L284" s="16" t="s">
        <v>17</v>
      </c>
      <c r="M284" s="13"/>
      <c r="N284" s="18"/>
      <c r="O284" s="18"/>
      <c r="P284" s="18"/>
      <c r="Q284" s="15"/>
      <c r="R284" s="15"/>
      <c r="S284" s="19"/>
    </row>
    <row r="285" spans="1:19" x14ac:dyDescent="0.35">
      <c r="A285" s="20">
        <v>111</v>
      </c>
      <c r="B285" s="22" t="s">
        <v>106</v>
      </c>
      <c r="C285" s="22" t="s">
        <v>106</v>
      </c>
      <c r="D285" t="s">
        <v>105</v>
      </c>
      <c r="E285" t="s">
        <v>72</v>
      </c>
      <c r="F285" s="16">
        <v>85</v>
      </c>
      <c r="G285" s="15" t="s">
        <v>26</v>
      </c>
      <c r="H285" s="16">
        <f>INDEX(X:X, MATCH(G285, W:W, 0))*F285</f>
        <v>42.5</v>
      </c>
      <c r="I285" s="16">
        <f>IF(COUNTIF($W$3:$W$6, G285) &gt; 0, 0, 1)</f>
        <v>0</v>
      </c>
      <c r="J285" s="16">
        <f>IF(COUNTIF(W$3:W$5, G285) &gt; 0, 0, 1)</f>
        <v>0</v>
      </c>
      <c r="K285" s="17" t="s">
        <v>83</v>
      </c>
      <c r="L285" s="16" t="s">
        <v>17</v>
      </c>
      <c r="M285" s="13"/>
      <c r="N285" s="18"/>
      <c r="O285" s="18"/>
      <c r="P285" s="18"/>
      <c r="Q285" s="15"/>
      <c r="R285" s="15"/>
      <c r="S285" s="19"/>
    </row>
    <row r="286" spans="1:19" x14ac:dyDescent="0.35">
      <c r="A286" s="20">
        <v>439</v>
      </c>
      <c r="B286" t="s">
        <v>105</v>
      </c>
      <c r="C286" s="22" t="s">
        <v>106</v>
      </c>
      <c r="D286" s="22" t="s">
        <v>106</v>
      </c>
      <c r="E286" t="s">
        <v>72</v>
      </c>
      <c r="F286" s="14">
        <v>25</v>
      </c>
      <c r="G286" s="15" t="s">
        <v>26</v>
      </c>
      <c r="H286" s="16">
        <f>INDEX(X:X, MATCH(G286, W:W, 0))*F286</f>
        <v>12.5</v>
      </c>
      <c r="I286" s="16">
        <f>IF(COUNTIF($W$3:$W$6, G286) &gt; 0, 0, 1)</f>
        <v>0</v>
      </c>
      <c r="J286" s="16">
        <f>IF(COUNTIF(W$3:W$5, G286) &gt; 0, 0, 1)</f>
        <v>0</v>
      </c>
      <c r="K286" s="17"/>
      <c r="L286" s="16" t="s">
        <v>22</v>
      </c>
      <c r="M286" s="13"/>
      <c r="N286" s="18"/>
      <c r="O286" s="18"/>
      <c r="P286" s="18"/>
      <c r="Q286" s="15"/>
      <c r="R286" s="15"/>
      <c r="S286" s="19"/>
    </row>
    <row r="287" spans="1:19" x14ac:dyDescent="0.35">
      <c r="A287" s="20">
        <v>488</v>
      </c>
      <c r="B287" t="s">
        <v>105</v>
      </c>
      <c r="C287" s="22" t="s">
        <v>106</v>
      </c>
      <c r="D287" s="22" t="s">
        <v>106</v>
      </c>
      <c r="E287" t="s">
        <v>72</v>
      </c>
      <c r="F287" s="14">
        <v>80</v>
      </c>
      <c r="G287" s="15" t="s">
        <v>26</v>
      </c>
      <c r="H287" s="16">
        <f>INDEX(X:X, MATCH(G287, W:W, 0))*F287</f>
        <v>40</v>
      </c>
      <c r="I287" s="16">
        <f>IF(COUNTIF($W$3:$W$6, G287) &gt; 0, 0, 1)</f>
        <v>0</v>
      </c>
      <c r="J287" s="16">
        <f>IF(COUNTIF(W$3:W$5, G287) &gt; 0, 0, 1)</f>
        <v>0</v>
      </c>
      <c r="K287" s="17"/>
      <c r="L287" s="16" t="s">
        <v>17</v>
      </c>
      <c r="M287" s="13"/>
      <c r="N287" s="18"/>
      <c r="O287" s="18"/>
      <c r="P287" s="18"/>
      <c r="Q287" s="15"/>
      <c r="R287" s="15"/>
      <c r="S287" s="19"/>
    </row>
    <row r="288" spans="1:19" x14ac:dyDescent="0.35">
      <c r="A288" s="20">
        <v>165</v>
      </c>
      <c r="B288" t="s">
        <v>105</v>
      </c>
      <c r="C288" s="22" t="s">
        <v>106</v>
      </c>
      <c r="D288" t="s">
        <v>105</v>
      </c>
      <c r="E288" t="s">
        <v>63</v>
      </c>
      <c r="F288" s="14">
        <v>25</v>
      </c>
      <c r="G288" s="15" t="s">
        <v>23</v>
      </c>
      <c r="H288" s="16">
        <f>INDEX(X:X, MATCH(G288, W:W, 0))*F288</f>
        <v>18.75</v>
      </c>
      <c r="I288" s="16">
        <f>IF(COUNTIF($W$3:$W$6, G288) &gt; 0, 0, 1)</f>
        <v>0</v>
      </c>
      <c r="J288" s="16">
        <f>IF(COUNTIF(W$3:W$5, G288) &gt; 0, 0, 1)</f>
        <v>1</v>
      </c>
      <c r="K288" s="17"/>
      <c r="L288" s="16" t="s">
        <v>17</v>
      </c>
      <c r="M288" s="13"/>
      <c r="N288" s="18"/>
      <c r="O288" s="18"/>
      <c r="P288" s="18"/>
      <c r="Q288" s="15"/>
      <c r="R288" s="15"/>
      <c r="S288" s="19"/>
    </row>
    <row r="289" spans="1:19" x14ac:dyDescent="0.35">
      <c r="A289" s="20">
        <v>221</v>
      </c>
      <c r="B289" t="s">
        <v>105</v>
      </c>
      <c r="C289" s="22" t="s">
        <v>106</v>
      </c>
      <c r="D289" t="s">
        <v>105</v>
      </c>
      <c r="E289" t="s">
        <v>63</v>
      </c>
      <c r="F289" s="14">
        <v>50</v>
      </c>
      <c r="G289" s="15" t="s">
        <v>23</v>
      </c>
      <c r="H289" s="16">
        <f>INDEX(X:X, MATCH(G289, W:W, 0))*F289</f>
        <v>37.5</v>
      </c>
      <c r="I289" s="16">
        <f>IF(COUNTIF($W$3:$W$6, G289) &gt; 0, 0, 1)</f>
        <v>0</v>
      </c>
      <c r="J289" s="16">
        <f>IF(COUNTIF(W$3:W$5, G289) &gt; 0, 0, 1)</f>
        <v>1</v>
      </c>
      <c r="K289" s="17" t="s">
        <v>91</v>
      </c>
      <c r="L289" s="16" t="s">
        <v>22</v>
      </c>
      <c r="M289" s="13"/>
      <c r="N289" s="18"/>
      <c r="O289" s="18"/>
      <c r="P289" s="18"/>
      <c r="Q289" s="15"/>
      <c r="R289" s="15"/>
      <c r="S289" s="19"/>
    </row>
    <row r="290" spans="1:19" x14ac:dyDescent="0.35">
      <c r="A290" s="20">
        <v>289</v>
      </c>
      <c r="B290" t="s">
        <v>105</v>
      </c>
      <c r="C290" s="22" t="s">
        <v>106</v>
      </c>
      <c r="D290" t="s">
        <v>105</v>
      </c>
      <c r="E290" t="s">
        <v>63</v>
      </c>
      <c r="F290" s="14">
        <v>50</v>
      </c>
      <c r="G290" s="15" t="s">
        <v>23</v>
      </c>
      <c r="H290" s="16">
        <f>INDEX(X:X, MATCH(G290, W:W, 0))*F290</f>
        <v>37.5</v>
      </c>
      <c r="I290" s="16">
        <f>IF(COUNTIF($W$3:$W$6, G290) &gt; 0, 0, 1)</f>
        <v>0</v>
      </c>
      <c r="J290" s="16">
        <f>IF(COUNTIF(W$3:W$5, G290) &gt; 0, 0, 1)</f>
        <v>1</v>
      </c>
      <c r="K290" s="17"/>
      <c r="L290" s="16" t="s">
        <v>17</v>
      </c>
      <c r="M290" s="13"/>
      <c r="N290" s="18"/>
      <c r="O290" s="18"/>
      <c r="P290" s="18"/>
      <c r="Q290" s="15"/>
      <c r="R290" s="15"/>
      <c r="S290" s="19"/>
    </row>
    <row r="291" spans="1:19" x14ac:dyDescent="0.35">
      <c r="A291" s="20">
        <v>312</v>
      </c>
      <c r="B291" t="s">
        <v>105</v>
      </c>
      <c r="C291" s="22" t="s">
        <v>106</v>
      </c>
      <c r="D291" t="s">
        <v>105</v>
      </c>
      <c r="E291" t="s">
        <v>63</v>
      </c>
      <c r="F291" s="14">
        <v>10</v>
      </c>
      <c r="G291" s="15" t="s">
        <v>23</v>
      </c>
      <c r="H291" s="16">
        <f>INDEX(X:X, MATCH(G291, W:W, 0))*F291</f>
        <v>7.5</v>
      </c>
      <c r="I291" s="16">
        <f>IF(COUNTIF($W$3:$W$6, G291) &gt; 0, 0, 1)</f>
        <v>0</v>
      </c>
      <c r="J291" s="16">
        <f>IF(COUNTIF(W$3:W$5, G291) &gt; 0, 0, 1)</f>
        <v>1</v>
      </c>
      <c r="K291" s="17"/>
      <c r="L291" s="16" t="s">
        <v>17</v>
      </c>
      <c r="M291" s="13"/>
      <c r="N291" s="18"/>
      <c r="O291" s="18"/>
      <c r="P291" s="18"/>
      <c r="Q291" s="15"/>
      <c r="R291" s="15"/>
      <c r="S291" s="19"/>
    </row>
    <row r="292" spans="1:19" x14ac:dyDescent="0.35">
      <c r="A292" s="20">
        <v>318</v>
      </c>
      <c r="B292" t="s">
        <v>105</v>
      </c>
      <c r="C292" s="22" t="s">
        <v>106</v>
      </c>
      <c r="D292" t="s">
        <v>105</v>
      </c>
      <c r="E292" t="s">
        <v>63</v>
      </c>
      <c r="F292" s="14">
        <v>15</v>
      </c>
      <c r="G292" s="15" t="s">
        <v>23</v>
      </c>
      <c r="H292" s="16">
        <f>INDEX(X:X, MATCH(G292, W:W, 0))*F292</f>
        <v>11.25</v>
      </c>
      <c r="I292" s="16">
        <f>IF(COUNTIF($W$3:$W$6, G292) &gt; 0, 0, 1)</f>
        <v>0</v>
      </c>
      <c r="J292" s="16">
        <f>IF(COUNTIF(W$3:W$5, G292) &gt; 0, 0, 1)</f>
        <v>1</v>
      </c>
      <c r="K292" s="17"/>
      <c r="L292" s="16" t="s">
        <v>17</v>
      </c>
      <c r="M292" s="13"/>
      <c r="N292" s="18"/>
      <c r="O292" s="18"/>
      <c r="P292" s="18"/>
      <c r="Q292" s="15"/>
      <c r="R292" s="15"/>
      <c r="S292" s="19"/>
    </row>
    <row r="293" spans="1:19" x14ac:dyDescent="0.35">
      <c r="A293" s="20">
        <v>335</v>
      </c>
      <c r="B293" t="s">
        <v>105</v>
      </c>
      <c r="C293" s="22" t="s">
        <v>106</v>
      </c>
      <c r="D293" t="s">
        <v>105</v>
      </c>
      <c r="E293" t="s">
        <v>63</v>
      </c>
      <c r="F293" s="14">
        <v>50</v>
      </c>
      <c r="G293" s="15" t="s">
        <v>23</v>
      </c>
      <c r="H293" s="16">
        <f>INDEX(X:X, MATCH(G293, W:W, 0))*F293</f>
        <v>37.5</v>
      </c>
      <c r="I293" s="16">
        <f>IF(COUNTIF($W$3:$W$6, G293) &gt; 0, 0, 1)</f>
        <v>0</v>
      </c>
      <c r="J293" s="16">
        <f>IF(COUNTIF(W$3:W$5, G293) &gt; 0, 0, 1)</f>
        <v>1</v>
      </c>
      <c r="K293" s="17"/>
      <c r="L293" s="16" t="s">
        <v>17</v>
      </c>
      <c r="M293" s="13"/>
      <c r="N293" s="18"/>
      <c r="O293" s="18"/>
      <c r="P293" s="18"/>
      <c r="Q293" s="15"/>
      <c r="R293" s="15"/>
      <c r="S293" s="19"/>
    </row>
    <row r="294" spans="1:19" x14ac:dyDescent="0.35">
      <c r="A294" s="20">
        <v>364</v>
      </c>
      <c r="B294" t="s">
        <v>105</v>
      </c>
      <c r="C294" s="22" t="s">
        <v>106</v>
      </c>
      <c r="D294" t="s">
        <v>105</v>
      </c>
      <c r="E294" t="s">
        <v>63</v>
      </c>
      <c r="F294" s="14">
        <v>40</v>
      </c>
      <c r="G294" s="15" t="s">
        <v>23</v>
      </c>
      <c r="H294" s="16">
        <f>INDEX(X:X, MATCH(G294, W:W, 0))*F294</f>
        <v>30</v>
      </c>
      <c r="I294" s="16">
        <f>IF(COUNTIF($W$3:$W$6, G294) &gt; 0, 0, 1)</f>
        <v>0</v>
      </c>
      <c r="J294" s="16">
        <f>IF(COUNTIF(W$3:W$5, G294) &gt; 0, 0, 1)</f>
        <v>1</v>
      </c>
      <c r="K294" s="17"/>
      <c r="L294" s="16" t="s">
        <v>17</v>
      </c>
      <c r="M294" s="13"/>
      <c r="N294" s="18"/>
      <c r="O294" s="18"/>
      <c r="P294" s="18"/>
      <c r="Q294" s="15"/>
      <c r="R294" s="15"/>
      <c r="S294" s="19"/>
    </row>
    <row r="295" spans="1:19" x14ac:dyDescent="0.35">
      <c r="A295" s="20">
        <v>89</v>
      </c>
      <c r="B295" t="s">
        <v>105</v>
      </c>
      <c r="C295" s="22" t="s">
        <v>106</v>
      </c>
      <c r="D295" t="s">
        <v>105</v>
      </c>
      <c r="E295" t="s">
        <v>63</v>
      </c>
      <c r="F295" s="14">
        <v>80</v>
      </c>
      <c r="G295" s="15" t="s">
        <v>23</v>
      </c>
      <c r="H295" s="16">
        <f>INDEX(X:X, MATCH(G295, W:W, 0))*F295</f>
        <v>60</v>
      </c>
      <c r="I295" s="16">
        <f>IF(COUNTIF($W$3:$W$6, G295) &gt; 0, 0, 1)</f>
        <v>0</v>
      </c>
      <c r="J295" s="16">
        <f>IF(COUNTIF(W$3:W$5, G295) &gt; 0, 0, 1)</f>
        <v>1</v>
      </c>
      <c r="K295" s="17" t="s">
        <v>90</v>
      </c>
      <c r="L295" s="16" t="s">
        <v>17</v>
      </c>
      <c r="M295" s="13"/>
      <c r="N295" s="18"/>
      <c r="O295" s="18"/>
      <c r="P295" s="18"/>
      <c r="Q295" s="15"/>
      <c r="R295" s="15"/>
      <c r="S295" s="19"/>
    </row>
    <row r="296" spans="1:19" x14ac:dyDescent="0.35">
      <c r="A296" s="20">
        <v>186</v>
      </c>
      <c r="B296" s="22" t="s">
        <v>106</v>
      </c>
      <c r="C296" s="22" t="s">
        <v>106</v>
      </c>
      <c r="D296" t="s">
        <v>105</v>
      </c>
      <c r="E296" t="s">
        <v>63</v>
      </c>
      <c r="F296" s="14">
        <v>25</v>
      </c>
      <c r="G296" s="15" t="s">
        <v>23</v>
      </c>
      <c r="H296" s="16">
        <f>INDEX(X:X, MATCH(G296, W:W, 0))*F296</f>
        <v>18.75</v>
      </c>
      <c r="I296" s="16">
        <f>IF(COUNTIF($W$3:$W$6, G296) &gt; 0, 0, 1)</f>
        <v>0</v>
      </c>
      <c r="J296" s="16">
        <f>IF(COUNTIF(W$3:W$5, G296) &gt; 0, 0, 1)</f>
        <v>1</v>
      </c>
      <c r="K296" s="17"/>
      <c r="L296" s="16" t="s">
        <v>17</v>
      </c>
      <c r="M296" s="13"/>
      <c r="N296" s="18"/>
      <c r="O296" s="18"/>
      <c r="P296" s="18"/>
      <c r="Q296" s="15"/>
      <c r="R296" s="15"/>
      <c r="S296" s="19"/>
    </row>
    <row r="297" spans="1:19" x14ac:dyDescent="0.35">
      <c r="A297" s="20">
        <v>279</v>
      </c>
      <c r="B297" s="22" t="s">
        <v>106</v>
      </c>
      <c r="C297" s="22" t="s">
        <v>106</v>
      </c>
      <c r="D297" t="s">
        <v>105</v>
      </c>
      <c r="E297" t="s">
        <v>63</v>
      </c>
      <c r="F297" s="14">
        <v>25</v>
      </c>
      <c r="G297" s="15" t="s">
        <v>23</v>
      </c>
      <c r="H297" s="16">
        <f>INDEX(X:X, MATCH(G297, W:W, 0))*F297</f>
        <v>18.75</v>
      </c>
      <c r="I297" s="16">
        <f>IF(COUNTIF($W$3:$W$6, G297) &gt; 0, 0, 1)</f>
        <v>0</v>
      </c>
      <c r="J297" s="16">
        <f>IF(COUNTIF(W$3:W$5, G297) &gt; 0, 0, 1)</f>
        <v>1</v>
      </c>
      <c r="K297" s="17"/>
      <c r="L297" s="16" t="s">
        <v>17</v>
      </c>
      <c r="M297" s="13"/>
      <c r="N297" s="18"/>
      <c r="O297" s="18"/>
      <c r="P297" s="18"/>
      <c r="Q297" s="15"/>
      <c r="R297" s="15"/>
      <c r="S297" s="19"/>
    </row>
    <row r="298" spans="1:19" x14ac:dyDescent="0.35">
      <c r="A298" s="20">
        <v>292</v>
      </c>
      <c r="B298" s="22" t="s">
        <v>106</v>
      </c>
      <c r="C298" s="22" t="s">
        <v>106</v>
      </c>
      <c r="D298" t="s">
        <v>105</v>
      </c>
      <c r="E298" t="s">
        <v>63</v>
      </c>
      <c r="F298" s="14">
        <v>10</v>
      </c>
      <c r="G298" s="15" t="s">
        <v>23</v>
      </c>
      <c r="H298" s="16">
        <f>INDEX(X:X, MATCH(G298, W:W, 0))*F298</f>
        <v>7.5</v>
      </c>
      <c r="I298" s="16">
        <f>IF(COUNTIF($W$3:$W$6, G298) &gt; 0, 0, 1)</f>
        <v>0</v>
      </c>
      <c r="J298" s="16">
        <f>IF(COUNTIF(W$3:W$5, G298) &gt; 0, 0, 1)</f>
        <v>1</v>
      </c>
      <c r="K298" s="17"/>
      <c r="L298" s="16" t="s">
        <v>17</v>
      </c>
      <c r="M298" s="13"/>
      <c r="N298" s="18"/>
      <c r="O298" s="18"/>
      <c r="P298" s="18"/>
      <c r="Q298" s="15"/>
      <c r="R298" s="15"/>
      <c r="S298" s="19"/>
    </row>
    <row r="299" spans="1:19" x14ac:dyDescent="0.35">
      <c r="A299" s="20">
        <v>333</v>
      </c>
      <c r="B299" t="s">
        <v>105</v>
      </c>
      <c r="C299" s="22" t="s">
        <v>106</v>
      </c>
      <c r="D299" s="22" t="s">
        <v>106</v>
      </c>
      <c r="E299" t="s">
        <v>63</v>
      </c>
      <c r="F299" s="14">
        <v>40</v>
      </c>
      <c r="G299" s="15" t="s">
        <v>23</v>
      </c>
      <c r="H299" s="16">
        <f>INDEX(X:X, MATCH(G299, W:W, 0))*F299</f>
        <v>30</v>
      </c>
      <c r="I299" s="16">
        <f>IF(COUNTIF($W$3:$W$6, G299) &gt; 0, 0, 1)</f>
        <v>0</v>
      </c>
      <c r="J299" s="16">
        <f>IF(COUNTIF(W$3:W$5, G299) &gt; 0, 0, 1)</f>
        <v>1</v>
      </c>
      <c r="K299" s="17"/>
      <c r="L299" s="16" t="s">
        <v>17</v>
      </c>
      <c r="M299" s="13"/>
      <c r="N299" s="18"/>
      <c r="O299" s="18"/>
      <c r="P299" s="18"/>
      <c r="Q299" s="15"/>
      <c r="R299" s="15"/>
      <c r="S299" s="19"/>
    </row>
    <row r="300" spans="1:19" x14ac:dyDescent="0.35">
      <c r="A300" s="20">
        <v>450</v>
      </c>
      <c r="B300" t="s">
        <v>105</v>
      </c>
      <c r="C300" s="22" t="s">
        <v>106</v>
      </c>
      <c r="D300" t="s">
        <v>105</v>
      </c>
      <c r="E300" t="s">
        <v>72</v>
      </c>
      <c r="F300" s="14">
        <v>20</v>
      </c>
      <c r="G300" s="15" t="s">
        <v>23</v>
      </c>
      <c r="H300" s="16">
        <f>INDEX(X:X, MATCH(G300, W:W, 0))*F300</f>
        <v>15</v>
      </c>
      <c r="I300" s="16">
        <f>IF(COUNTIF($W$3:$W$6, G300) &gt; 0, 0, 1)</f>
        <v>0</v>
      </c>
      <c r="J300" s="16">
        <f>IF(COUNTIF(W$3:W$5, G300) &gt; 0, 0, 1)</f>
        <v>1</v>
      </c>
      <c r="K300" s="17"/>
      <c r="L300" s="16" t="s">
        <v>17</v>
      </c>
      <c r="M300" s="13"/>
      <c r="N300" s="18"/>
      <c r="O300" s="18"/>
      <c r="P300" s="18"/>
      <c r="Q300" s="15"/>
      <c r="R300" s="15"/>
      <c r="S300" s="19"/>
    </row>
    <row r="301" spans="1:19" x14ac:dyDescent="0.35">
      <c r="A301" s="20">
        <v>13</v>
      </c>
      <c r="B301" s="22" t="s">
        <v>106</v>
      </c>
      <c r="C301" s="22" t="s">
        <v>106</v>
      </c>
      <c r="D301" t="s">
        <v>105</v>
      </c>
      <c r="E301" t="s">
        <v>72</v>
      </c>
      <c r="F301" s="14">
        <v>10</v>
      </c>
      <c r="G301" s="15" t="s">
        <v>23</v>
      </c>
      <c r="H301" s="16">
        <f>INDEX(X:X, MATCH(G301, W:W, 0))*F301</f>
        <v>7.5</v>
      </c>
      <c r="I301" s="16">
        <f>IF(COUNTIF($W$3:$W$6, G301) &gt; 0, 0, 1)</f>
        <v>0</v>
      </c>
      <c r="J301" s="16">
        <f>IF(COUNTIF(W$3:W$5, G301) &gt; 0, 0, 1)</f>
        <v>1</v>
      </c>
      <c r="K301" s="17"/>
      <c r="L301" s="16" t="s">
        <v>22</v>
      </c>
      <c r="M301" s="13"/>
      <c r="N301" s="18"/>
      <c r="O301" s="18"/>
      <c r="P301" s="18"/>
      <c r="Q301" s="15"/>
      <c r="R301" s="15"/>
      <c r="S301" s="19"/>
    </row>
    <row r="302" spans="1:19" x14ac:dyDescent="0.35">
      <c r="A302" s="20">
        <v>18</v>
      </c>
      <c r="B302" s="22" t="s">
        <v>106</v>
      </c>
      <c r="C302" s="22" t="s">
        <v>106</v>
      </c>
      <c r="D302" t="s">
        <v>105</v>
      </c>
      <c r="E302" t="s">
        <v>72</v>
      </c>
      <c r="F302" s="14">
        <v>10</v>
      </c>
      <c r="G302" s="15" t="s">
        <v>23</v>
      </c>
      <c r="H302" s="16">
        <f>INDEX(X:X, MATCH(G302, W:W, 0))*F302</f>
        <v>7.5</v>
      </c>
      <c r="I302" s="16">
        <f>IF(COUNTIF($W$3:$W$6, G302) &gt; 0, 0, 1)</f>
        <v>0</v>
      </c>
      <c r="J302" s="16">
        <f>IF(COUNTIF(W$3:W$5, G302) &gt; 0, 0, 1)</f>
        <v>1</v>
      </c>
      <c r="K302" s="17"/>
      <c r="L302" s="16" t="s">
        <v>22</v>
      </c>
      <c r="M302" s="13"/>
      <c r="N302" s="18"/>
      <c r="O302" s="18"/>
      <c r="P302" s="18"/>
      <c r="Q302" s="15"/>
      <c r="R302" s="15"/>
      <c r="S302" s="19"/>
    </row>
    <row r="303" spans="1:19" x14ac:dyDescent="0.35">
      <c r="A303" s="20">
        <v>133</v>
      </c>
      <c r="B303" s="22" t="s">
        <v>106</v>
      </c>
      <c r="C303" s="22" t="s">
        <v>106</v>
      </c>
      <c r="D303" t="s">
        <v>105</v>
      </c>
      <c r="E303" t="s">
        <v>72</v>
      </c>
      <c r="F303" s="14">
        <v>15</v>
      </c>
      <c r="G303" s="15" t="s">
        <v>23</v>
      </c>
      <c r="H303" s="16">
        <f>INDEX(X:X, MATCH(G303, W:W, 0))*F303</f>
        <v>11.25</v>
      </c>
      <c r="I303" s="16">
        <f>IF(COUNTIF($W$3:$W$6, G303) &gt; 0, 0, 1)</f>
        <v>0</v>
      </c>
      <c r="J303" s="16">
        <f>IF(COUNTIF(W$3:W$5, G303) &gt; 0, 0, 1)</f>
        <v>1</v>
      </c>
      <c r="K303" s="17"/>
      <c r="L303" s="16" t="s">
        <v>22</v>
      </c>
      <c r="M303" s="13"/>
      <c r="N303" s="18"/>
      <c r="O303" s="18"/>
      <c r="P303" s="18"/>
      <c r="Q303" s="15"/>
      <c r="R303" s="15"/>
      <c r="S303" s="19"/>
    </row>
    <row r="304" spans="1:19" x14ac:dyDescent="0.35">
      <c r="A304" s="20">
        <v>256</v>
      </c>
      <c r="B304" s="22" t="s">
        <v>106</v>
      </c>
      <c r="C304" s="22" t="s">
        <v>106</v>
      </c>
      <c r="D304" t="s">
        <v>105</v>
      </c>
      <c r="E304" t="s">
        <v>72</v>
      </c>
      <c r="F304" s="14">
        <v>10</v>
      </c>
      <c r="G304" s="15" t="s">
        <v>23</v>
      </c>
      <c r="H304" s="16">
        <f>INDEX(X:X, MATCH(G304, W:W, 0))*F304</f>
        <v>7.5</v>
      </c>
      <c r="I304" s="16">
        <f>IF(COUNTIF($W$3:$W$6, G304) &gt; 0, 0, 1)</f>
        <v>0</v>
      </c>
      <c r="J304" s="16">
        <f>IF(COUNTIF(W$3:W$5, G304) &gt; 0, 0, 1)</f>
        <v>1</v>
      </c>
      <c r="K304" s="17"/>
      <c r="L304" s="16" t="s">
        <v>22</v>
      </c>
      <c r="M304" s="13"/>
      <c r="N304" s="18"/>
      <c r="O304" s="18"/>
      <c r="P304" s="18"/>
      <c r="Q304" s="15"/>
      <c r="R304" s="15"/>
      <c r="S304" s="19"/>
    </row>
    <row r="305" spans="1:19" x14ac:dyDescent="0.35">
      <c r="A305" s="20">
        <v>314</v>
      </c>
      <c r="B305" s="22" t="s">
        <v>106</v>
      </c>
      <c r="C305" s="22" t="s">
        <v>106</v>
      </c>
      <c r="D305" t="s">
        <v>105</v>
      </c>
      <c r="E305" t="s">
        <v>72</v>
      </c>
      <c r="F305" s="14">
        <v>10</v>
      </c>
      <c r="G305" s="15" t="s">
        <v>23</v>
      </c>
      <c r="H305" s="16">
        <f>INDEX(X:X, MATCH(G305, W:W, 0))*F305</f>
        <v>7.5</v>
      </c>
      <c r="I305" s="16">
        <f>IF(COUNTIF($W$3:$W$6, G305) &gt; 0, 0, 1)</f>
        <v>0</v>
      </c>
      <c r="J305" s="16">
        <f>IF(COUNTIF(W$3:W$5, G305) &gt; 0, 0, 1)</f>
        <v>1</v>
      </c>
      <c r="K305" s="17"/>
      <c r="L305" s="16" t="s">
        <v>17</v>
      </c>
      <c r="M305" s="13"/>
      <c r="N305" s="18"/>
      <c r="O305" s="18"/>
      <c r="P305" s="18"/>
      <c r="Q305" s="15"/>
      <c r="R305" s="15"/>
      <c r="S305" s="19"/>
    </row>
    <row r="306" spans="1:19" ht="18" customHeight="1" x14ac:dyDescent="0.35">
      <c r="A306" s="20">
        <v>618</v>
      </c>
      <c r="B306" s="22" t="s">
        <v>106</v>
      </c>
      <c r="C306" s="22" t="s">
        <v>106</v>
      </c>
      <c r="D306" t="s">
        <v>105</v>
      </c>
      <c r="E306" t="s">
        <v>72</v>
      </c>
      <c r="F306" s="14">
        <v>10</v>
      </c>
      <c r="G306" s="15" t="s">
        <v>23</v>
      </c>
      <c r="H306" s="16">
        <f>INDEX(X:X, MATCH(G306, W:W, 0))*F306</f>
        <v>7.5</v>
      </c>
      <c r="I306" s="16">
        <f>IF(COUNTIF($W$3:$W$6, G306) &gt; 0, 0, 1)</f>
        <v>0</v>
      </c>
      <c r="J306" s="16">
        <f>IF(COUNTIF(W$3:W$5, G306) &gt; 0, 0, 1)</f>
        <v>1</v>
      </c>
      <c r="K306" s="17" t="s">
        <v>56</v>
      </c>
      <c r="L306" s="16" t="s">
        <v>22</v>
      </c>
      <c r="M306" s="18"/>
      <c r="N306" s="18"/>
      <c r="O306" s="18"/>
      <c r="P306" s="15"/>
      <c r="Q306" s="15"/>
      <c r="R306" s="19"/>
      <c r="S306" s="48"/>
    </row>
    <row r="307" spans="1:19" x14ac:dyDescent="0.35">
      <c r="A307" s="20">
        <v>212</v>
      </c>
      <c r="B307" s="22" t="s">
        <v>106</v>
      </c>
      <c r="C307" s="22" t="s">
        <v>106</v>
      </c>
      <c r="D307" s="22" t="s">
        <v>106</v>
      </c>
      <c r="E307" t="s">
        <v>72</v>
      </c>
      <c r="F307" s="14">
        <v>25</v>
      </c>
      <c r="G307" s="15" t="s">
        <v>23</v>
      </c>
      <c r="H307" s="16">
        <f>INDEX(X:X, MATCH(G307, W:W, 0))*F307</f>
        <v>18.75</v>
      </c>
      <c r="I307" s="16">
        <f>IF(COUNTIF($W$3:$W$6, G307) &gt; 0, 0, 1)</f>
        <v>0</v>
      </c>
      <c r="J307" s="16">
        <f>IF(COUNTIF(W$3:W$5, G307) &gt; 0, 0, 1)</f>
        <v>1</v>
      </c>
      <c r="K307" s="17" t="s">
        <v>25</v>
      </c>
      <c r="L307" s="16" t="s">
        <v>22</v>
      </c>
      <c r="M307" s="13"/>
      <c r="N307" s="18"/>
      <c r="O307" s="18"/>
      <c r="P307" s="18"/>
      <c r="Q307" s="15"/>
      <c r="R307" s="15"/>
      <c r="S307" s="19"/>
    </row>
    <row r="308" spans="1:19" x14ac:dyDescent="0.35">
      <c r="A308" s="20">
        <v>85</v>
      </c>
      <c r="B308" t="s">
        <v>105</v>
      </c>
      <c r="C308" s="22" t="s">
        <v>106</v>
      </c>
      <c r="D308" t="s">
        <v>105</v>
      </c>
      <c r="E308" t="s">
        <v>80</v>
      </c>
      <c r="F308" s="14">
        <v>60</v>
      </c>
      <c r="G308" s="15" t="s">
        <v>23</v>
      </c>
      <c r="H308" s="16">
        <f>INDEX(X:X, MATCH(G308, W:W, 0))*F308</f>
        <v>45</v>
      </c>
      <c r="I308" s="16">
        <f>IF(COUNTIF($W$3:$W$6, G308) &gt; 0, 0, 1)</f>
        <v>0</v>
      </c>
      <c r="J308" s="16">
        <f>IF(COUNTIF(W$3:W$5, G308) &gt; 0, 0, 1)</f>
        <v>1</v>
      </c>
      <c r="K308" s="17" t="s">
        <v>49</v>
      </c>
      <c r="L308" s="16" t="s">
        <v>17</v>
      </c>
      <c r="M308" s="13"/>
      <c r="N308" s="18"/>
      <c r="O308" s="18"/>
      <c r="P308" s="18"/>
      <c r="Q308" s="15"/>
      <c r="R308" s="15"/>
      <c r="S308" s="19"/>
    </row>
    <row r="309" spans="1:19" x14ac:dyDescent="0.35">
      <c r="A309" s="20">
        <v>107</v>
      </c>
      <c r="B309" t="s">
        <v>105</v>
      </c>
      <c r="C309" s="22" t="s">
        <v>106</v>
      </c>
      <c r="D309" s="22" t="s">
        <v>106</v>
      </c>
      <c r="E309" t="s">
        <v>80</v>
      </c>
      <c r="F309" s="14">
        <v>40</v>
      </c>
      <c r="G309" s="15" t="s">
        <v>23</v>
      </c>
      <c r="H309" s="16">
        <f>INDEX(X:X, MATCH(G309, W:W, 0))*F309</f>
        <v>30</v>
      </c>
      <c r="I309" s="16">
        <f>IF(COUNTIF($W$3:$W$6, G309) &gt; 0, 0, 1)</f>
        <v>0</v>
      </c>
      <c r="J309" s="16">
        <f>IF(COUNTIF(W$3:W$5, G309) &gt; 0, 0, 1)</f>
        <v>1</v>
      </c>
      <c r="K309" s="17" t="s">
        <v>48</v>
      </c>
      <c r="L309" s="16" t="s">
        <v>22</v>
      </c>
      <c r="M309" s="13"/>
      <c r="N309" s="18"/>
      <c r="O309" s="18"/>
      <c r="P309" s="18"/>
      <c r="Q309" s="15"/>
      <c r="R309" s="15"/>
      <c r="S309" s="19"/>
    </row>
    <row r="310" spans="1:19" x14ac:dyDescent="0.35">
      <c r="A310" s="20">
        <v>665</v>
      </c>
      <c r="B310" s="22" t="s">
        <v>106</v>
      </c>
      <c r="C310" s="22" t="s">
        <v>106</v>
      </c>
      <c r="D310" t="s">
        <v>105</v>
      </c>
      <c r="E310" t="s">
        <v>80</v>
      </c>
      <c r="F310" s="14">
        <v>10</v>
      </c>
      <c r="G310" s="15" t="s">
        <v>23</v>
      </c>
      <c r="H310" s="16">
        <f>INDEX(X:X, MATCH(G310, W:W, 0))*F310</f>
        <v>7.5</v>
      </c>
      <c r="I310" s="16">
        <f>IF(COUNTIF($W$3:$W$6, G310) &gt; 0, 0, 1)</f>
        <v>0</v>
      </c>
      <c r="J310" s="16">
        <f>IF(COUNTIF(W$3:W$5, G310) &gt; 0, 0, 1)</f>
        <v>1</v>
      </c>
      <c r="K310" s="17"/>
      <c r="L310" s="16" t="s">
        <v>17</v>
      </c>
      <c r="M310" s="13"/>
      <c r="N310" s="18"/>
      <c r="O310" s="18"/>
      <c r="P310" s="18"/>
      <c r="Q310" s="15"/>
      <c r="R310" s="15"/>
      <c r="S310" s="19"/>
    </row>
    <row r="311" spans="1:19" x14ac:dyDescent="0.35">
      <c r="A311" s="20">
        <v>114</v>
      </c>
      <c r="B311" t="s">
        <v>61</v>
      </c>
      <c r="C311" t="s">
        <v>61</v>
      </c>
      <c r="D311" t="s">
        <v>61</v>
      </c>
      <c r="E311" t="s">
        <v>61</v>
      </c>
      <c r="F311" s="14" t="s">
        <v>61</v>
      </c>
      <c r="G311" s="15" t="s">
        <v>61</v>
      </c>
      <c r="H311" s="16" t="e">
        <f>INDEX(X:X, MATCH(G311, W:W, 0))*F311</f>
        <v>#N/A</v>
      </c>
      <c r="I311" s="16">
        <f>IF(COUNTIF($W$3:$W$6, G311) &gt; 0, 0, 1)</f>
        <v>1</v>
      </c>
      <c r="J311" s="16">
        <f>IF(COUNTIF(W$3:W$5, G311) &gt; 0, 0, 1)</f>
        <v>1</v>
      </c>
      <c r="K311" s="17" t="s">
        <v>60</v>
      </c>
      <c r="L311" s="16" t="s">
        <v>17</v>
      </c>
      <c r="M311" s="13"/>
      <c r="N311" s="18"/>
      <c r="O311" s="18"/>
      <c r="P311" s="18"/>
      <c r="Q311" s="15"/>
      <c r="R311" s="15"/>
      <c r="S311" s="19"/>
    </row>
    <row r="312" spans="1:19" x14ac:dyDescent="0.35">
      <c r="A312" s="20">
        <v>187</v>
      </c>
      <c r="B312" t="s">
        <v>61</v>
      </c>
      <c r="C312" t="s">
        <v>61</v>
      </c>
      <c r="D312" t="s">
        <v>61</v>
      </c>
      <c r="E312" t="s">
        <v>61</v>
      </c>
      <c r="F312" s="14" t="s">
        <v>61</v>
      </c>
      <c r="G312" s="15" t="s">
        <v>61</v>
      </c>
      <c r="H312" s="16" t="e">
        <f>INDEX(X:X, MATCH(G312, W:W, 0))*F312</f>
        <v>#N/A</v>
      </c>
      <c r="I312" s="16">
        <f>IF(COUNTIF($W$3:$W$6, G312) &gt; 0, 0, 1)</f>
        <v>1</v>
      </c>
      <c r="J312" s="16">
        <f>IF(COUNTIF(W$3:W$5, G312) &gt; 0, 0, 1)</f>
        <v>1</v>
      </c>
      <c r="K312" s="17" t="s">
        <v>60</v>
      </c>
      <c r="L312" s="16" t="s">
        <v>17</v>
      </c>
      <c r="M312" s="13"/>
      <c r="N312" s="18"/>
      <c r="O312" s="18"/>
      <c r="P312" s="18"/>
      <c r="Q312" s="15"/>
      <c r="R312" s="15"/>
      <c r="S312" s="19"/>
    </row>
    <row r="313" spans="1:19" x14ac:dyDescent="0.35">
      <c r="A313" s="20">
        <v>189</v>
      </c>
      <c r="B313" t="s">
        <v>61</v>
      </c>
      <c r="C313" t="s">
        <v>61</v>
      </c>
      <c r="D313" t="s">
        <v>61</v>
      </c>
      <c r="E313" t="s">
        <v>61</v>
      </c>
      <c r="F313" s="14" t="s">
        <v>61</v>
      </c>
      <c r="G313" s="15" t="s">
        <v>61</v>
      </c>
      <c r="H313" s="16" t="e">
        <f>INDEX(X:X, MATCH(G313, W:W, 0))*F313</f>
        <v>#N/A</v>
      </c>
      <c r="I313" s="16">
        <f>IF(COUNTIF($W$3:$W$6, G313) &gt; 0, 0, 1)</f>
        <v>1</v>
      </c>
      <c r="J313" s="16">
        <f>IF(COUNTIF(W$3:W$5, G313) &gt; 0, 0, 1)</f>
        <v>1</v>
      </c>
      <c r="K313" s="17" t="s">
        <v>97</v>
      </c>
      <c r="L313" s="16" t="s">
        <v>17</v>
      </c>
      <c r="M313" s="13"/>
      <c r="N313" s="18"/>
      <c r="O313" s="18"/>
      <c r="P313" s="18"/>
      <c r="Q313" s="15"/>
      <c r="R313" s="15"/>
      <c r="S313" s="19"/>
    </row>
    <row r="314" spans="1:19" x14ac:dyDescent="0.35">
      <c r="A314" s="20">
        <v>523</v>
      </c>
      <c r="B314" t="s">
        <v>61</v>
      </c>
      <c r="C314" t="s">
        <v>61</v>
      </c>
      <c r="D314" t="s">
        <v>61</v>
      </c>
      <c r="E314" t="s">
        <v>61</v>
      </c>
      <c r="F314" s="14" t="s">
        <v>61</v>
      </c>
      <c r="G314" s="15" t="s">
        <v>61</v>
      </c>
      <c r="H314" s="16" t="e">
        <f>INDEX(X:X, MATCH(G314, W:W, 0))*F314</f>
        <v>#N/A</v>
      </c>
      <c r="I314" s="16">
        <f>IF(COUNTIF($W$3:$W$6, G314) &gt; 0, 0, 1)</f>
        <v>1</v>
      </c>
      <c r="J314" s="16">
        <f>IF(COUNTIF(W$3:W$5, G314) &gt; 0, 0, 1)</f>
        <v>1</v>
      </c>
      <c r="K314" s="17" t="s">
        <v>60</v>
      </c>
      <c r="L314" s="16" t="s">
        <v>17</v>
      </c>
      <c r="M314" s="13"/>
      <c r="N314" s="18"/>
      <c r="O314" s="18"/>
      <c r="P314" s="18"/>
      <c r="Q314" s="15"/>
      <c r="R314" s="15"/>
      <c r="S314" s="19"/>
    </row>
    <row r="315" spans="1:19" x14ac:dyDescent="0.35">
      <c r="A315" s="20">
        <v>729</v>
      </c>
      <c r="B315" t="s">
        <v>61</v>
      </c>
      <c r="C315" t="s">
        <v>61</v>
      </c>
      <c r="D315" t="s">
        <v>61</v>
      </c>
      <c r="E315" t="s">
        <v>61</v>
      </c>
      <c r="F315" s="14" t="s">
        <v>61</v>
      </c>
      <c r="G315" s="15" t="s">
        <v>61</v>
      </c>
      <c r="H315" s="16" t="e">
        <f>INDEX(X:X, MATCH(G315, W:W, 0))*F315</f>
        <v>#N/A</v>
      </c>
      <c r="I315" s="16">
        <f>IF(COUNTIF($W$3:$W$6, G315) &gt; 0, 0, 1)</f>
        <v>1</v>
      </c>
      <c r="J315" s="16">
        <f>IF(COUNTIF(W$3:W$5, G315) &gt; 0, 0, 1)</f>
        <v>1</v>
      </c>
      <c r="K315" s="17" t="s">
        <v>95</v>
      </c>
      <c r="L315" s="16" t="s">
        <v>17</v>
      </c>
      <c r="M315" s="13"/>
      <c r="N315" s="18"/>
      <c r="O315" s="18"/>
      <c r="P315" s="18"/>
      <c r="Q315" s="15"/>
      <c r="R315" s="15"/>
      <c r="S315" s="19"/>
    </row>
    <row r="316" spans="1:19" x14ac:dyDescent="0.35">
      <c r="A316" s="20">
        <v>257</v>
      </c>
      <c r="B316" t="s">
        <v>105</v>
      </c>
      <c r="C316" t="s">
        <v>105</v>
      </c>
      <c r="D316" t="s">
        <v>105</v>
      </c>
      <c r="E316" t="s">
        <v>63</v>
      </c>
      <c r="F316" s="14">
        <v>15</v>
      </c>
      <c r="G316" s="15" t="s">
        <v>24</v>
      </c>
      <c r="H316" s="16">
        <f>INDEX(X:X, MATCH(G316, W:W, 0))*F316</f>
        <v>13.125</v>
      </c>
      <c r="I316" s="16">
        <f>IF(COUNTIF($W$3:$W$6, G316) &gt; 0, 0, 1)</f>
        <v>1</v>
      </c>
      <c r="J316" s="16">
        <f>IF(COUNTIF(W$3:W$5, G316) &gt; 0, 0, 1)</f>
        <v>1</v>
      </c>
      <c r="K316" s="17"/>
      <c r="L316" s="16" t="s">
        <v>17</v>
      </c>
      <c r="M316" s="13"/>
      <c r="N316" s="18"/>
      <c r="O316" s="18"/>
      <c r="P316" s="18"/>
      <c r="Q316" s="15"/>
      <c r="R316" s="15"/>
      <c r="S316" s="19"/>
    </row>
    <row r="317" spans="1:19" x14ac:dyDescent="0.35">
      <c r="A317" s="20">
        <v>38</v>
      </c>
      <c r="B317" s="22" t="s">
        <v>106</v>
      </c>
      <c r="C317" t="s">
        <v>105</v>
      </c>
      <c r="D317" t="s">
        <v>105</v>
      </c>
      <c r="E317" t="s">
        <v>63</v>
      </c>
      <c r="F317" s="14">
        <v>25</v>
      </c>
      <c r="G317" s="15" t="s">
        <v>24</v>
      </c>
      <c r="H317" s="16">
        <f>INDEX(X:X, MATCH(G317, W:W, 0))*F317</f>
        <v>21.875</v>
      </c>
      <c r="I317" s="16">
        <f>IF(COUNTIF($W$3:$W$6, G317) &gt; 0, 0, 1)</f>
        <v>1</v>
      </c>
      <c r="J317" s="16">
        <f>IF(COUNTIF(W$3:W$5, G317) &gt; 0, 0, 1)</f>
        <v>1</v>
      </c>
      <c r="K317" s="17"/>
      <c r="L317" s="16" t="s">
        <v>17</v>
      </c>
      <c r="M317" s="13"/>
      <c r="N317" s="18"/>
      <c r="O317" s="18"/>
      <c r="P317" s="18"/>
      <c r="Q317" s="15"/>
      <c r="R317" s="15"/>
      <c r="S317" s="19"/>
    </row>
    <row r="318" spans="1:19" x14ac:dyDescent="0.35">
      <c r="A318" s="20">
        <v>61</v>
      </c>
      <c r="B318" t="s">
        <v>105</v>
      </c>
      <c r="C318" s="22" t="s">
        <v>106</v>
      </c>
      <c r="D318" t="s">
        <v>105</v>
      </c>
      <c r="E318" t="s">
        <v>63</v>
      </c>
      <c r="F318" s="14">
        <v>25</v>
      </c>
      <c r="G318" s="15" t="s">
        <v>24</v>
      </c>
      <c r="H318" s="16">
        <f>INDEX(X:X, MATCH(G318, W:W, 0))*F318</f>
        <v>21.875</v>
      </c>
      <c r="I318" s="16">
        <f>IF(COUNTIF($W$3:$W$6, G318) &gt; 0, 0, 1)</f>
        <v>1</v>
      </c>
      <c r="J318" s="16">
        <f>IF(COUNTIF(W$3:W$5, G318) &gt; 0, 0, 1)</f>
        <v>1</v>
      </c>
      <c r="K318" s="17"/>
      <c r="L318" s="16" t="s">
        <v>17</v>
      </c>
      <c r="M318" s="13"/>
      <c r="N318" s="18"/>
      <c r="O318" s="18"/>
      <c r="P318" s="18"/>
      <c r="Q318" s="15"/>
      <c r="R318" s="15"/>
      <c r="S318" s="19"/>
    </row>
    <row r="319" spans="1:19" x14ac:dyDescent="0.35">
      <c r="A319" s="20">
        <v>126</v>
      </c>
      <c r="B319" t="s">
        <v>105</v>
      </c>
      <c r="C319" s="22" t="s">
        <v>106</v>
      </c>
      <c r="D319" t="s">
        <v>105</v>
      </c>
      <c r="E319" t="s">
        <v>63</v>
      </c>
      <c r="F319" s="14">
        <v>40</v>
      </c>
      <c r="G319" s="15" t="s">
        <v>24</v>
      </c>
      <c r="H319" s="16">
        <f>INDEX(X:X, MATCH(G319, W:W, 0))*F319</f>
        <v>35</v>
      </c>
      <c r="I319" s="16">
        <f>IF(COUNTIF($W$3:$W$6, G319) &gt; 0, 0, 1)</f>
        <v>1</v>
      </c>
      <c r="J319" s="16">
        <f>IF(COUNTIF(W$3:W$5, G319) &gt; 0, 0, 1)</f>
        <v>1</v>
      </c>
      <c r="K319" s="17" t="s">
        <v>25</v>
      </c>
      <c r="L319" s="16" t="s">
        <v>17</v>
      </c>
      <c r="M319" s="13"/>
      <c r="N319" s="18"/>
      <c r="O319" s="18"/>
      <c r="P319" s="18"/>
      <c r="Q319" s="15"/>
      <c r="R319" s="15"/>
      <c r="S319" s="19"/>
    </row>
    <row r="320" spans="1:19" x14ac:dyDescent="0.35">
      <c r="A320" s="20">
        <v>225</v>
      </c>
      <c r="B320" t="s">
        <v>105</v>
      </c>
      <c r="C320" s="22" t="s">
        <v>106</v>
      </c>
      <c r="D320" t="s">
        <v>105</v>
      </c>
      <c r="E320" t="s">
        <v>63</v>
      </c>
      <c r="F320" s="14">
        <v>25</v>
      </c>
      <c r="G320" s="15" t="s">
        <v>24</v>
      </c>
      <c r="H320" s="16">
        <f>INDEX(X:X, MATCH(G320, W:W, 0))*F320</f>
        <v>21.875</v>
      </c>
      <c r="I320" s="16">
        <f>IF(COUNTIF($W$3:$W$6, G320) &gt; 0, 0, 1)</f>
        <v>1</v>
      </c>
      <c r="J320" s="16">
        <f>IF(COUNTIF(W$3:W$5, G320) &gt; 0, 0, 1)</f>
        <v>1</v>
      </c>
      <c r="K320" s="17" t="s">
        <v>62</v>
      </c>
      <c r="L320" s="16" t="s">
        <v>22</v>
      </c>
      <c r="M320" s="13"/>
      <c r="N320" s="18"/>
      <c r="O320" s="18"/>
      <c r="P320" s="18"/>
      <c r="Q320" s="15"/>
      <c r="R320" s="15"/>
      <c r="S320" s="19"/>
    </row>
    <row r="321" spans="1:19" x14ac:dyDescent="0.35">
      <c r="A321" s="20">
        <v>15</v>
      </c>
      <c r="B321" s="22" t="s">
        <v>106</v>
      </c>
      <c r="C321" s="22" t="s">
        <v>106</v>
      </c>
      <c r="D321" t="s">
        <v>105</v>
      </c>
      <c r="E321" t="s">
        <v>63</v>
      </c>
      <c r="F321" s="14">
        <v>20</v>
      </c>
      <c r="G321" s="15" t="s">
        <v>24</v>
      </c>
      <c r="H321" s="16">
        <f>INDEX(X:X, MATCH(G321, W:W, 0))*F321</f>
        <v>17.5</v>
      </c>
      <c r="I321" s="16">
        <f>IF(COUNTIF($W$3:$W$6, G321) &gt; 0, 0, 1)</f>
        <v>1</v>
      </c>
      <c r="J321" s="16">
        <f>IF(COUNTIF(W$3:W$5, G321) &gt; 0, 0, 1)</f>
        <v>1</v>
      </c>
      <c r="K321" s="17"/>
      <c r="L321" s="16" t="s">
        <v>17</v>
      </c>
      <c r="M321" s="13"/>
      <c r="N321" s="18"/>
      <c r="O321" s="18"/>
      <c r="P321" s="18"/>
      <c r="Q321" s="15"/>
      <c r="R321" s="15"/>
      <c r="S321" s="19"/>
    </row>
    <row r="322" spans="1:19" x14ac:dyDescent="0.35">
      <c r="A322" s="20">
        <v>366</v>
      </c>
      <c r="B322" s="22" t="s">
        <v>106</v>
      </c>
      <c r="C322" s="22" t="s">
        <v>106</v>
      </c>
      <c r="D322" t="s">
        <v>105</v>
      </c>
      <c r="E322" t="s">
        <v>63</v>
      </c>
      <c r="F322" s="14">
        <v>20</v>
      </c>
      <c r="G322" s="15" t="s">
        <v>24</v>
      </c>
      <c r="H322" s="16">
        <f>INDEX(X:X, MATCH(G322, W:W, 0))*F322</f>
        <v>17.5</v>
      </c>
      <c r="I322" s="16">
        <f>IF(COUNTIF($W$3:$W$6, G322) &gt; 0, 0, 1)</f>
        <v>1</v>
      </c>
      <c r="J322" s="16">
        <f>IF(COUNTIF(W$3:W$5, G322) &gt; 0, 0, 1)</f>
        <v>1</v>
      </c>
      <c r="K322" s="17"/>
      <c r="L322" s="16" t="s">
        <v>17</v>
      </c>
      <c r="M322" s="13"/>
      <c r="N322" s="18"/>
      <c r="O322" s="18"/>
      <c r="P322" s="18"/>
      <c r="Q322" s="15"/>
      <c r="R322" s="15"/>
      <c r="S322" s="19"/>
    </row>
    <row r="323" spans="1:19" x14ac:dyDescent="0.35">
      <c r="A323" s="20">
        <v>393</v>
      </c>
      <c r="B323" s="22" t="s">
        <v>106</v>
      </c>
      <c r="C323" s="22" t="s">
        <v>106</v>
      </c>
      <c r="D323" t="s">
        <v>105</v>
      </c>
      <c r="E323" t="s">
        <v>63</v>
      </c>
      <c r="F323" s="14">
        <v>20</v>
      </c>
      <c r="G323" s="15" t="s">
        <v>24</v>
      </c>
      <c r="H323" s="16">
        <f>INDEX(X:X, MATCH(G323, W:W, 0))*F323</f>
        <v>17.5</v>
      </c>
      <c r="I323" s="16">
        <f>IF(COUNTIF($W$3:$W$6, G323) &gt; 0, 0, 1)</f>
        <v>1</v>
      </c>
      <c r="J323" s="16">
        <f>IF(COUNTIF(W$3:W$5, G323) &gt; 0, 0, 1)</f>
        <v>1</v>
      </c>
      <c r="K323" s="17"/>
      <c r="L323" s="16" t="s">
        <v>17</v>
      </c>
      <c r="M323" s="13"/>
      <c r="N323" s="18"/>
      <c r="O323" s="18"/>
      <c r="P323" s="18"/>
      <c r="Q323" s="15"/>
      <c r="R323" s="15"/>
      <c r="S323" s="19"/>
    </row>
    <row r="324" spans="1:19" x14ac:dyDescent="0.35">
      <c r="A324" s="20">
        <v>672</v>
      </c>
      <c r="B324" s="22" t="s">
        <v>106</v>
      </c>
      <c r="C324" s="22" t="s">
        <v>106</v>
      </c>
      <c r="D324" t="s">
        <v>105</v>
      </c>
      <c r="E324" t="s">
        <v>63</v>
      </c>
      <c r="F324" s="14">
        <v>75</v>
      </c>
      <c r="G324" s="15" t="s">
        <v>24</v>
      </c>
      <c r="H324" s="16">
        <f>INDEX(X:X, MATCH(G324, W:W, 0))*F324</f>
        <v>65.625</v>
      </c>
      <c r="I324" s="16">
        <f>IF(COUNTIF($W$3:$W$6, G324) &gt; 0, 0, 1)</f>
        <v>1</v>
      </c>
      <c r="J324" s="16">
        <f>IF(COUNTIF(W$3:W$5, G324) &gt; 0, 0, 1)</f>
        <v>1</v>
      </c>
      <c r="K324" s="17"/>
      <c r="L324" s="16" t="s">
        <v>17</v>
      </c>
      <c r="M324" s="13"/>
      <c r="N324" s="18"/>
      <c r="O324" s="18"/>
      <c r="P324" s="18"/>
      <c r="Q324" s="15"/>
      <c r="R324" s="15"/>
      <c r="S324" s="19"/>
    </row>
    <row r="325" spans="1:19" x14ac:dyDescent="0.35">
      <c r="A325" s="20">
        <v>181</v>
      </c>
      <c r="B325" s="22" t="s">
        <v>106</v>
      </c>
      <c r="C325" s="22" t="s">
        <v>106</v>
      </c>
      <c r="D325" t="s">
        <v>105</v>
      </c>
      <c r="E325" t="s">
        <v>80</v>
      </c>
      <c r="F325" s="14">
        <v>40</v>
      </c>
      <c r="G325" s="15" t="s">
        <v>24</v>
      </c>
      <c r="H325" s="16">
        <f>INDEX(X:X, MATCH(G325, W:W, 0))*F325</f>
        <v>35</v>
      </c>
      <c r="I325" s="16">
        <f>IF(COUNTIF($W$3:$W$6, G325) &gt; 0, 0, 1)</f>
        <v>1</v>
      </c>
      <c r="J325" s="16">
        <f>IF(COUNTIF(W$3:W$5, G325) &gt; 0, 0, 1)</f>
        <v>1</v>
      </c>
      <c r="K325" s="17" t="s">
        <v>32</v>
      </c>
      <c r="L325" s="16" t="s">
        <v>21</v>
      </c>
      <c r="M325" s="13"/>
      <c r="N325" s="18"/>
      <c r="O325" s="18"/>
      <c r="P325" s="18"/>
      <c r="Q325" s="15"/>
      <c r="R325" s="15"/>
      <c r="S325" s="19"/>
    </row>
    <row r="326" spans="1:19" x14ac:dyDescent="0.35">
      <c r="A326" s="20">
        <v>166</v>
      </c>
      <c r="B326" t="s">
        <v>105</v>
      </c>
      <c r="C326" s="22" t="s">
        <v>106</v>
      </c>
      <c r="D326" t="s">
        <v>105</v>
      </c>
      <c r="E326" t="s">
        <v>80</v>
      </c>
      <c r="F326" s="14">
        <v>75</v>
      </c>
      <c r="G326" s="15" t="s">
        <v>24</v>
      </c>
      <c r="H326" s="16">
        <f>INDEX(X:X, MATCH(G326, W:W, 0))*F326</f>
        <v>65.625</v>
      </c>
      <c r="I326" s="16">
        <f>IF(COUNTIF($W$3:$W$6, G326) &gt; 0, 0, 1)</f>
        <v>1</v>
      </c>
      <c r="J326" s="16">
        <f>IF(COUNTIF(W$3:W$5, G326) &gt; 0, 0, 1)</f>
        <v>1</v>
      </c>
      <c r="K326" s="17" t="s">
        <v>47</v>
      </c>
      <c r="L326" s="16" t="s">
        <v>17</v>
      </c>
      <c r="M326" s="13"/>
      <c r="N326" s="18"/>
      <c r="O326" s="18"/>
      <c r="P326" s="18"/>
      <c r="Q326" s="15"/>
      <c r="R326" s="15"/>
      <c r="S326" s="19"/>
    </row>
    <row r="327" spans="1:19" x14ac:dyDescent="0.35">
      <c r="A327" s="20">
        <v>288</v>
      </c>
      <c r="B327" t="s">
        <v>105</v>
      </c>
      <c r="C327" s="22" t="s">
        <v>106</v>
      </c>
      <c r="D327" t="s">
        <v>105</v>
      </c>
      <c r="E327" t="s">
        <v>80</v>
      </c>
      <c r="F327" s="14">
        <v>15</v>
      </c>
      <c r="G327" s="15" t="s">
        <v>24</v>
      </c>
      <c r="H327" s="16">
        <f>INDEX(X:X, MATCH(G327, W:W, 0))*F327</f>
        <v>13.125</v>
      </c>
      <c r="I327" s="16">
        <f>IF(COUNTIF($W$3:$W$6, G327) &gt; 0, 0, 1)</f>
        <v>1</v>
      </c>
      <c r="J327" s="16">
        <f>IF(COUNTIF(W$3:W$5, G327) &gt; 0, 0, 1)</f>
        <v>1</v>
      </c>
      <c r="K327" s="17"/>
      <c r="L327" s="16" t="s">
        <v>17</v>
      </c>
      <c r="M327" s="13"/>
      <c r="N327" s="18"/>
      <c r="O327" s="18"/>
      <c r="P327" s="18"/>
      <c r="Q327" s="15"/>
      <c r="R327" s="15"/>
      <c r="S327" s="19"/>
    </row>
    <row r="328" spans="1:19" x14ac:dyDescent="0.35">
      <c r="A328" s="20">
        <v>442</v>
      </c>
      <c r="B328" t="s">
        <v>105</v>
      </c>
      <c r="C328" s="22" t="s">
        <v>106</v>
      </c>
      <c r="D328" t="s">
        <v>105</v>
      </c>
      <c r="E328" t="s">
        <v>80</v>
      </c>
      <c r="F328" s="14">
        <v>30</v>
      </c>
      <c r="G328" s="15" t="s">
        <v>24</v>
      </c>
      <c r="H328" s="16">
        <f>INDEX(X:X, MATCH(G328, W:W, 0))*F328</f>
        <v>26.25</v>
      </c>
      <c r="I328" s="16">
        <f>IF(COUNTIF($W$3:$W$6, G328) &gt; 0, 0, 1)</f>
        <v>1</v>
      </c>
      <c r="J328" s="16">
        <f>IF(COUNTIF(W$3:W$5, G328) &gt; 0, 0, 1)</f>
        <v>1</v>
      </c>
      <c r="K328" s="17"/>
      <c r="L328" s="16" t="s">
        <v>17</v>
      </c>
      <c r="M328" s="13"/>
      <c r="N328" s="18"/>
      <c r="O328" s="18"/>
      <c r="P328" s="18"/>
      <c r="Q328" s="15"/>
      <c r="R328" s="15"/>
      <c r="S328" s="19"/>
    </row>
    <row r="329" spans="1:19" x14ac:dyDescent="0.35">
      <c r="A329" s="20">
        <v>59</v>
      </c>
      <c r="B329" s="22" t="s">
        <v>106</v>
      </c>
      <c r="C329" s="22" t="s">
        <v>106</v>
      </c>
      <c r="D329" t="s">
        <v>105</v>
      </c>
      <c r="E329" t="s">
        <v>80</v>
      </c>
      <c r="F329" s="14">
        <v>20</v>
      </c>
      <c r="G329" s="15" t="s">
        <v>24</v>
      </c>
      <c r="H329" s="16">
        <f>INDEX(X:X, MATCH(G329, W:W, 0))*F329</f>
        <v>17.5</v>
      </c>
      <c r="I329" s="16">
        <f>IF(COUNTIF($W$3:$W$6, G329) &gt; 0, 0, 1)</f>
        <v>1</v>
      </c>
      <c r="J329" s="16">
        <f>IF(COUNTIF(W$3:W$5, G329) &gt; 0, 0, 1)</f>
        <v>1</v>
      </c>
      <c r="K329" s="17" t="s">
        <v>42</v>
      </c>
      <c r="L329" s="16" t="s">
        <v>17</v>
      </c>
      <c r="M329" s="13"/>
      <c r="N329" s="18"/>
      <c r="O329" s="18"/>
      <c r="P329" s="18"/>
      <c r="Q329" s="15"/>
      <c r="R329" s="15"/>
      <c r="S329" s="19"/>
    </row>
    <row r="330" spans="1:19" x14ac:dyDescent="0.35">
      <c r="A330" s="20">
        <v>167</v>
      </c>
      <c r="B330" s="22" t="s">
        <v>106</v>
      </c>
      <c r="C330" s="22" t="s">
        <v>106</v>
      </c>
      <c r="D330" t="s">
        <v>105</v>
      </c>
      <c r="E330" t="s">
        <v>80</v>
      </c>
      <c r="F330" s="14">
        <v>25</v>
      </c>
      <c r="G330" s="15" t="s">
        <v>24</v>
      </c>
      <c r="H330" s="16">
        <f>INDEX(X:X, MATCH(G330, W:W, 0))*F330</f>
        <v>21.875</v>
      </c>
      <c r="I330" s="16">
        <f>IF(COUNTIF($W$3:$W$6, G330) &gt; 0, 0, 1)</f>
        <v>1</v>
      </c>
      <c r="J330" s="16">
        <f>IF(COUNTIF(W$3:W$5, G330) &gt; 0, 0, 1)</f>
        <v>1</v>
      </c>
      <c r="K330" s="17" t="s">
        <v>47</v>
      </c>
      <c r="L330" s="16" t="s">
        <v>17</v>
      </c>
      <c r="M330" s="13"/>
      <c r="N330" s="18"/>
      <c r="O330" s="18"/>
      <c r="P330" s="18"/>
      <c r="Q330" s="15"/>
      <c r="R330" s="15"/>
      <c r="S330" s="19"/>
    </row>
    <row r="331" spans="1:19" x14ac:dyDescent="0.35">
      <c r="A331" s="20">
        <v>300</v>
      </c>
      <c r="B331" s="22" t="s">
        <v>106</v>
      </c>
      <c r="C331" s="22" t="s">
        <v>106</v>
      </c>
      <c r="D331" t="s">
        <v>105</v>
      </c>
      <c r="E331" t="s">
        <v>80</v>
      </c>
      <c r="F331" s="14">
        <v>15</v>
      </c>
      <c r="G331" s="15" t="s">
        <v>24</v>
      </c>
      <c r="H331" s="16">
        <f>INDEX(X:X, MATCH(G331, W:W, 0))*F331</f>
        <v>13.125</v>
      </c>
      <c r="I331" s="16">
        <f>IF(COUNTIF($W$3:$W$6, G331) &gt; 0, 0, 1)</f>
        <v>1</v>
      </c>
      <c r="J331" s="16">
        <f>IF(COUNTIF(W$3:W$5, G331) &gt; 0, 0, 1)</f>
        <v>1</v>
      </c>
      <c r="K331" s="17"/>
      <c r="L331" s="16" t="s">
        <v>17</v>
      </c>
      <c r="M331" s="13"/>
      <c r="N331" s="18"/>
      <c r="O331" s="18"/>
      <c r="P331" s="18"/>
      <c r="Q331" s="15"/>
      <c r="R331" s="15"/>
      <c r="S331" s="19"/>
    </row>
    <row r="332" spans="1:19" x14ac:dyDescent="0.35">
      <c r="A332" s="20">
        <v>448</v>
      </c>
      <c r="B332" s="22" t="s">
        <v>106</v>
      </c>
      <c r="C332" s="22" t="s">
        <v>106</v>
      </c>
      <c r="D332" t="s">
        <v>105</v>
      </c>
      <c r="E332" t="s">
        <v>80</v>
      </c>
      <c r="F332" s="14">
        <v>60</v>
      </c>
      <c r="G332" s="15" t="s">
        <v>24</v>
      </c>
      <c r="H332" s="16">
        <f>INDEX(X:X, MATCH(G332, W:W, 0))*F332</f>
        <v>52.5</v>
      </c>
      <c r="I332" s="16">
        <f>IF(COUNTIF($W$3:$W$6, G332) &gt; 0, 0, 1)</f>
        <v>1</v>
      </c>
      <c r="J332" s="16">
        <f>IF(COUNTIF(W$3:W$5, G332) &gt; 0, 0, 1)</f>
        <v>1</v>
      </c>
      <c r="K332" s="17"/>
      <c r="L332" s="16" t="s">
        <v>17</v>
      </c>
      <c r="M332" s="13"/>
      <c r="N332" s="18"/>
      <c r="O332" s="18"/>
      <c r="P332" s="18"/>
      <c r="Q332" s="15"/>
      <c r="R332" s="15"/>
      <c r="S332" s="19"/>
    </row>
    <row r="333" spans="1:19" x14ac:dyDescent="0.35">
      <c r="A333" s="20">
        <v>673</v>
      </c>
      <c r="B333" s="22" t="s">
        <v>106</v>
      </c>
      <c r="C333" s="22" t="s">
        <v>106</v>
      </c>
      <c r="D333" t="s">
        <v>105</v>
      </c>
      <c r="E333" t="s">
        <v>80</v>
      </c>
      <c r="F333" s="14">
        <v>40</v>
      </c>
      <c r="G333" s="15" t="s">
        <v>24</v>
      </c>
      <c r="H333" s="16">
        <f>INDEX(X:X, MATCH(G333, W:W, 0))*F333</f>
        <v>35</v>
      </c>
      <c r="I333" s="16">
        <f>IF(COUNTIF($W$3:$W$6, G333) &gt; 0, 0, 1)</f>
        <v>1</v>
      </c>
      <c r="J333" s="16">
        <f>IF(COUNTIF(W$3:W$5, G333) &gt; 0, 0, 1)</f>
        <v>1</v>
      </c>
      <c r="K333" s="17"/>
      <c r="L333" s="16" t="s">
        <v>17</v>
      </c>
      <c r="M333" s="13"/>
      <c r="N333" s="18"/>
      <c r="O333" s="18"/>
      <c r="P333" s="18"/>
      <c r="Q333" s="15"/>
      <c r="R333" s="15"/>
      <c r="S333" s="19"/>
    </row>
    <row r="334" spans="1:19" x14ac:dyDescent="0.35">
      <c r="A334" s="20">
        <v>413</v>
      </c>
      <c r="B334" t="s">
        <v>105</v>
      </c>
      <c r="C334" s="22" t="s">
        <v>106</v>
      </c>
      <c r="D334" s="22" t="s">
        <v>106</v>
      </c>
      <c r="E334" t="s">
        <v>80</v>
      </c>
      <c r="F334" s="14">
        <v>25</v>
      </c>
      <c r="G334" s="15" t="s">
        <v>24</v>
      </c>
      <c r="H334" s="16">
        <f>INDEX(X:X, MATCH(G334, W:W, 0))*F334</f>
        <v>21.875</v>
      </c>
      <c r="I334" s="16">
        <f>IF(COUNTIF($W$3:$W$6, G334) &gt; 0, 0, 1)</f>
        <v>1</v>
      </c>
      <c r="J334" s="16">
        <f>IF(COUNTIF(W$3:W$5, G334) &gt; 0, 0, 1)</f>
        <v>1</v>
      </c>
      <c r="K334" s="17"/>
      <c r="L334" s="16" t="s">
        <v>22</v>
      </c>
      <c r="M334" s="13"/>
      <c r="N334" s="18"/>
      <c r="O334" s="18"/>
      <c r="P334" s="18"/>
      <c r="Q334" s="15"/>
      <c r="R334" s="15"/>
      <c r="S334" s="19"/>
    </row>
    <row r="335" spans="1:19" x14ac:dyDescent="0.35">
      <c r="A335" s="20">
        <v>437</v>
      </c>
      <c r="B335" t="s">
        <v>105</v>
      </c>
      <c r="C335" s="22" t="s">
        <v>106</v>
      </c>
      <c r="D335" s="22" t="s">
        <v>106</v>
      </c>
      <c r="E335" t="s">
        <v>80</v>
      </c>
      <c r="F335" s="14">
        <v>40</v>
      </c>
      <c r="G335" s="15" t="s">
        <v>24</v>
      </c>
      <c r="H335" s="16">
        <f>INDEX(X:X, MATCH(G335, W:W, 0))*F335</f>
        <v>35</v>
      </c>
      <c r="I335" s="16">
        <f>IF(COUNTIF($W$3:$W$6, G335) &gt; 0, 0, 1)</f>
        <v>1</v>
      </c>
      <c r="J335" s="16">
        <f>IF(COUNTIF(W$3:W$5, G335) &gt; 0, 0, 1)</f>
        <v>1</v>
      </c>
      <c r="K335" s="17"/>
      <c r="L335" s="16" t="s">
        <v>17</v>
      </c>
      <c r="M335" s="13"/>
      <c r="N335" s="18"/>
      <c r="O335" s="18"/>
      <c r="P335" s="18"/>
      <c r="Q335" s="15"/>
      <c r="R335" s="15"/>
      <c r="S335" s="19"/>
    </row>
    <row r="336" spans="1:19" x14ac:dyDescent="0.35">
      <c r="A336" s="20">
        <v>689</v>
      </c>
      <c r="B336" t="s">
        <v>105</v>
      </c>
      <c r="C336" s="22" t="s">
        <v>106</v>
      </c>
      <c r="D336" s="22" t="s">
        <v>106</v>
      </c>
      <c r="E336" t="s">
        <v>80</v>
      </c>
      <c r="F336" s="14">
        <v>75</v>
      </c>
      <c r="G336" s="15" t="s">
        <v>24</v>
      </c>
      <c r="H336" s="16">
        <f>INDEX(X:X, MATCH(G336, W:W, 0))*F336</f>
        <v>65.625</v>
      </c>
      <c r="I336" s="16">
        <f>IF(COUNTIF($W$3:$W$6, G336) &gt; 0, 0, 1)</f>
        <v>1</v>
      </c>
      <c r="J336" s="16">
        <f>IF(COUNTIF(W$3:W$5, G336) &gt; 0, 0, 1)</f>
        <v>1</v>
      </c>
      <c r="K336" s="17"/>
      <c r="L336" s="16" t="s">
        <v>17</v>
      </c>
      <c r="M336" s="13"/>
      <c r="N336" s="18"/>
      <c r="O336" s="18"/>
      <c r="P336" s="18"/>
      <c r="Q336" s="15"/>
      <c r="R336" s="15"/>
      <c r="S336" s="19"/>
    </row>
    <row r="337" spans="1:19" x14ac:dyDescent="0.35">
      <c r="A337" s="20">
        <v>75</v>
      </c>
      <c r="B337" s="22" t="s">
        <v>106</v>
      </c>
      <c r="C337" s="22" t="s">
        <v>106</v>
      </c>
      <c r="D337" s="22" t="s">
        <v>106</v>
      </c>
      <c r="E337" t="s">
        <v>80</v>
      </c>
      <c r="F337" s="14">
        <v>60</v>
      </c>
      <c r="G337" s="15" t="s">
        <v>24</v>
      </c>
      <c r="H337" s="16">
        <f>INDEX(X:X, MATCH(G337, W:W, 0))*F337</f>
        <v>52.5</v>
      </c>
      <c r="I337" s="16">
        <f>IF(COUNTIF($W$3:$W$6, G337) &gt; 0, 0, 1)</f>
        <v>1</v>
      </c>
      <c r="J337" s="16">
        <f>IF(COUNTIF(W$3:W$5, G337) &gt; 0, 0, 1)</f>
        <v>1</v>
      </c>
      <c r="K337" s="17"/>
      <c r="L337" s="16" t="s">
        <v>17</v>
      </c>
      <c r="M337" s="13"/>
      <c r="N337" s="18"/>
      <c r="O337" s="18"/>
      <c r="P337" s="18"/>
      <c r="Q337" s="15"/>
      <c r="R337" s="15"/>
      <c r="S337" s="19"/>
    </row>
    <row r="338" spans="1:19" x14ac:dyDescent="0.35">
      <c r="A338" s="20">
        <v>502</v>
      </c>
      <c r="B338" s="22" t="s">
        <v>106</v>
      </c>
      <c r="C338" s="22" t="s">
        <v>106</v>
      </c>
      <c r="D338" s="22" t="s">
        <v>106</v>
      </c>
      <c r="E338" t="s">
        <v>80</v>
      </c>
      <c r="F338" s="14">
        <v>15</v>
      </c>
      <c r="G338" s="15" t="s">
        <v>24</v>
      </c>
      <c r="H338" s="16">
        <f>INDEX(X:X, MATCH(G338, W:W, 0))*F338</f>
        <v>13.125</v>
      </c>
      <c r="I338" s="16">
        <f>IF(COUNTIF($W$3:$W$6, G338) &gt; 0, 0, 1)</f>
        <v>1</v>
      </c>
      <c r="J338" s="16">
        <f>IF(COUNTIF(W$3:W$5, G338) &gt; 0, 0, 1)</f>
        <v>1</v>
      </c>
      <c r="K338" s="17" t="s">
        <v>53</v>
      </c>
      <c r="L338" s="16" t="s">
        <v>17</v>
      </c>
      <c r="M338" s="13"/>
      <c r="N338" s="18"/>
      <c r="O338" s="18"/>
      <c r="P338" s="18"/>
      <c r="Q338" s="15"/>
      <c r="R338" s="15"/>
      <c r="S338" s="19"/>
    </row>
    <row r="339" spans="1:19" x14ac:dyDescent="0.35">
      <c r="A339" s="20">
        <v>261</v>
      </c>
      <c r="B339" t="s">
        <v>105</v>
      </c>
      <c r="C339" s="22" t="s">
        <v>106</v>
      </c>
      <c r="D339" t="s">
        <v>105</v>
      </c>
      <c r="E339" t="s">
        <v>80</v>
      </c>
      <c r="F339" s="14">
        <v>80</v>
      </c>
      <c r="G339" s="15" t="s">
        <v>24</v>
      </c>
      <c r="H339" s="16">
        <f>INDEX(X:X, MATCH(G339, W:W, 0))*F339</f>
        <v>70</v>
      </c>
      <c r="I339" s="16">
        <f>IF(COUNTIF($W$3:$W$6, G339) &gt; 0, 0, 1)</f>
        <v>1</v>
      </c>
      <c r="J339" s="16">
        <f>IF(COUNTIF(W$3:W$5, G339) &gt; 0, 0, 1)</f>
        <v>1</v>
      </c>
      <c r="K339" s="17"/>
      <c r="L339" s="16" t="s">
        <v>17</v>
      </c>
      <c r="M339" s="13"/>
      <c r="N339" s="18"/>
      <c r="O339" s="18"/>
      <c r="P339" s="18"/>
      <c r="Q339" s="15"/>
      <c r="R339" s="15"/>
      <c r="S339" s="19"/>
    </row>
    <row r="340" spans="1:19" x14ac:dyDescent="0.35">
      <c r="A340" s="20">
        <v>277</v>
      </c>
      <c r="B340" t="s">
        <v>105</v>
      </c>
      <c r="C340" s="22" t="s">
        <v>106</v>
      </c>
      <c r="D340" t="s">
        <v>105</v>
      </c>
      <c r="E340" t="s">
        <v>80</v>
      </c>
      <c r="F340" s="48">
        <v>80</v>
      </c>
      <c r="G340" s="15" t="s">
        <v>24</v>
      </c>
      <c r="H340" s="16">
        <f>INDEX(X:X, MATCH(G340, W:W, 0))*F340</f>
        <v>70</v>
      </c>
      <c r="I340" s="16">
        <f>IF(COUNTIF($W$3:$W$6, G340) &gt; 0, 0, 1)</f>
        <v>1</v>
      </c>
      <c r="J340" s="16">
        <f>IF(COUNTIF(W$3:W$5, G340) &gt; 0, 0, 1)</f>
        <v>1</v>
      </c>
      <c r="K340" s="17"/>
      <c r="L340" s="48" t="s">
        <v>17</v>
      </c>
      <c r="M340" s="13"/>
      <c r="N340" s="18"/>
      <c r="O340" s="18"/>
      <c r="P340" s="18"/>
      <c r="Q340" s="15"/>
      <c r="R340" s="15"/>
      <c r="S340" s="19"/>
    </row>
    <row r="341" spans="1:19" x14ac:dyDescent="0.35">
      <c r="A341" s="20">
        <v>284</v>
      </c>
      <c r="B341" s="22" t="s">
        <v>106</v>
      </c>
      <c r="C341" s="22" t="s">
        <v>106</v>
      </c>
      <c r="D341" t="s">
        <v>105</v>
      </c>
      <c r="E341" t="s">
        <v>80</v>
      </c>
      <c r="F341" s="14">
        <v>40</v>
      </c>
      <c r="G341" s="15" t="s">
        <v>24</v>
      </c>
      <c r="H341" s="16">
        <f>INDEX(X:X, MATCH(G341, W:W, 0))*F341</f>
        <v>35</v>
      </c>
      <c r="I341" s="16">
        <f>IF(COUNTIF($W$3:$W$6, G341) &gt; 0, 0, 1)</f>
        <v>1</v>
      </c>
      <c r="J341" s="16">
        <f>IF(COUNTIF(W$3:W$5, G341) &gt; 0, 0, 1)</f>
        <v>1</v>
      </c>
      <c r="K341" s="17"/>
      <c r="L341" s="16" t="s">
        <v>22</v>
      </c>
      <c r="M341" s="13"/>
      <c r="N341" s="18"/>
      <c r="O341" s="18"/>
      <c r="P341" s="18"/>
      <c r="Q341" s="15"/>
      <c r="R341" s="15"/>
      <c r="S341" s="19"/>
    </row>
    <row r="342" spans="1:19" x14ac:dyDescent="0.35">
      <c r="A342" s="20">
        <v>185</v>
      </c>
      <c r="B342" t="s">
        <v>105</v>
      </c>
      <c r="C342" s="22" t="s">
        <v>106</v>
      </c>
      <c r="D342" s="22" t="s">
        <v>106</v>
      </c>
      <c r="E342" t="s">
        <v>80</v>
      </c>
      <c r="F342" s="14">
        <v>25</v>
      </c>
      <c r="G342" s="15" t="s">
        <v>24</v>
      </c>
      <c r="H342" s="16">
        <f>INDEX(X:X, MATCH(G342, W:W, 0))*F342</f>
        <v>21.875</v>
      </c>
      <c r="I342" s="16">
        <f>IF(COUNTIF($W$3:$W$6, G342) &gt; 0, 0, 1)</f>
        <v>1</v>
      </c>
      <c r="J342" s="16">
        <f>IF(COUNTIF(W$3:W$5, G342) &gt; 0, 0, 1)</f>
        <v>1</v>
      </c>
      <c r="K342" s="17" t="s">
        <v>48</v>
      </c>
      <c r="L342" s="16" t="s">
        <v>22</v>
      </c>
      <c r="M342" s="13"/>
      <c r="N342" s="18"/>
      <c r="O342" s="18"/>
      <c r="P342" s="18"/>
      <c r="Q342" s="15"/>
      <c r="R342" s="15"/>
      <c r="S342" s="19"/>
    </row>
    <row r="343" spans="1:19" x14ac:dyDescent="0.35">
      <c r="A343" s="20">
        <v>467</v>
      </c>
      <c r="B343" t="s">
        <v>105</v>
      </c>
      <c r="C343" s="22" t="s">
        <v>106</v>
      </c>
      <c r="D343" t="s">
        <v>105</v>
      </c>
      <c r="E343" t="s">
        <v>80</v>
      </c>
      <c r="F343" s="14">
        <v>90</v>
      </c>
      <c r="G343" s="15" t="s">
        <v>24</v>
      </c>
      <c r="H343" s="16">
        <f>INDEX(X:X, MATCH(G343, W:W, 0))*F343</f>
        <v>78.75</v>
      </c>
      <c r="I343" s="16">
        <f>IF(COUNTIF($W$3:$W$6, G343) &gt; 0, 0, 1)</f>
        <v>1</v>
      </c>
      <c r="J343" s="16">
        <f>IF(COUNTIF(W$3:W$5, G343) &gt; 0, 0, 1)</f>
        <v>1</v>
      </c>
      <c r="K343" s="17"/>
      <c r="L343" s="16" t="s">
        <v>17</v>
      </c>
      <c r="M343" s="13"/>
      <c r="N343" s="18"/>
      <c r="O343" s="18"/>
      <c r="P343" s="18"/>
      <c r="Q343" s="15"/>
      <c r="R343" s="15"/>
      <c r="S343" s="19"/>
    </row>
    <row r="344" spans="1:19" x14ac:dyDescent="0.35">
      <c r="A344" s="20">
        <v>461</v>
      </c>
      <c r="B344" s="22" t="s">
        <v>106</v>
      </c>
      <c r="C344" t="s">
        <v>105</v>
      </c>
      <c r="D344" t="s">
        <v>105</v>
      </c>
      <c r="E344" t="s">
        <v>80</v>
      </c>
      <c r="F344" s="14">
        <v>80</v>
      </c>
      <c r="G344" s="15" t="s">
        <v>24</v>
      </c>
      <c r="H344" s="16">
        <f>INDEX(X:X, MATCH(G344, W:W, 0))*F344</f>
        <v>70</v>
      </c>
      <c r="I344" s="16">
        <f>IF(COUNTIF($W$3:$W$6, G344) &gt; 0, 0, 1)</f>
        <v>1</v>
      </c>
      <c r="J344" s="16">
        <f>IF(COUNTIF(W$3:W$5, G344) &gt; 0, 0, 1)</f>
        <v>1</v>
      </c>
      <c r="K344" s="17"/>
      <c r="L344" s="16" t="s">
        <v>17</v>
      </c>
      <c r="M344" s="13"/>
      <c r="N344" s="18"/>
      <c r="O344" s="18"/>
      <c r="P344" s="18"/>
      <c r="Q344" s="15"/>
      <c r="R344" s="15"/>
      <c r="S344" s="19"/>
    </row>
    <row r="345" spans="1:19" x14ac:dyDescent="0.35">
      <c r="A345" s="20">
        <v>39</v>
      </c>
      <c r="B345" t="s">
        <v>105</v>
      </c>
      <c r="C345" s="22" t="s">
        <v>106</v>
      </c>
      <c r="D345" t="s">
        <v>105</v>
      </c>
      <c r="E345" t="s">
        <v>80</v>
      </c>
      <c r="F345" s="14">
        <v>85</v>
      </c>
      <c r="G345" s="15" t="s">
        <v>24</v>
      </c>
      <c r="H345" s="16">
        <f>INDEX(X:X, MATCH(G345, W:W, 0))*F345</f>
        <v>74.375</v>
      </c>
      <c r="I345" s="16">
        <f>IF(COUNTIF($W$3:$W$6, G345) &gt; 0, 0, 1)</f>
        <v>1</v>
      </c>
      <c r="J345" s="16">
        <f>IF(COUNTIF(W$3:W$5, G345) &gt; 0, 0, 1)</f>
        <v>1</v>
      </c>
      <c r="K345" s="17" t="s">
        <v>53</v>
      </c>
      <c r="L345" s="16" t="s">
        <v>22</v>
      </c>
      <c r="M345" s="13"/>
      <c r="N345" s="18"/>
      <c r="O345" s="18"/>
      <c r="P345" s="18"/>
      <c r="Q345" s="15"/>
      <c r="R345" s="15"/>
      <c r="S345" s="19"/>
    </row>
    <row r="346" spans="1:19" x14ac:dyDescent="0.35">
      <c r="A346" s="20">
        <v>481</v>
      </c>
      <c r="B346" t="s">
        <v>105</v>
      </c>
      <c r="C346" s="22" t="s">
        <v>106</v>
      </c>
      <c r="D346" t="s">
        <v>105</v>
      </c>
      <c r="E346" t="s">
        <v>80</v>
      </c>
      <c r="F346" s="14">
        <v>10</v>
      </c>
      <c r="G346" s="15" t="s">
        <v>24</v>
      </c>
      <c r="H346" s="16">
        <f>INDEX(X:X, MATCH(G346, W:W, 0))*F346</f>
        <v>8.75</v>
      </c>
      <c r="I346" s="16">
        <f>IF(COUNTIF($W$3:$W$6, G346) &gt; 0, 0, 1)</f>
        <v>1</v>
      </c>
      <c r="J346" s="16">
        <f>IF(COUNTIF(W$3:W$5, G346) &gt; 0, 0, 1)</f>
        <v>1</v>
      </c>
      <c r="K346" s="17"/>
      <c r="L346" s="16" t="s">
        <v>22</v>
      </c>
      <c r="M346" s="13"/>
      <c r="N346" s="18"/>
      <c r="O346" s="18"/>
      <c r="P346" s="18"/>
      <c r="Q346" s="15"/>
      <c r="R346" s="15"/>
      <c r="S346" s="19"/>
    </row>
    <row r="347" spans="1:19" x14ac:dyDescent="0.35">
      <c r="A347" s="20">
        <v>486</v>
      </c>
      <c r="B347" t="s">
        <v>105</v>
      </c>
      <c r="C347" s="22" t="s">
        <v>106</v>
      </c>
      <c r="D347" s="22" t="s">
        <v>106</v>
      </c>
      <c r="E347" t="s">
        <v>80</v>
      </c>
      <c r="F347" s="14">
        <v>80</v>
      </c>
      <c r="G347" s="15" t="s">
        <v>24</v>
      </c>
      <c r="H347" s="16">
        <f>INDEX(X:X, MATCH(G347, W:W, 0))*F347</f>
        <v>70</v>
      </c>
      <c r="I347" s="16">
        <f>IF(COUNTIF($W$3:$W$6, G347) &gt; 0, 0, 1)</f>
        <v>1</v>
      </c>
      <c r="J347" s="16">
        <f>IF(COUNTIF(W$3:W$5, G347) &gt; 0, 0, 1)</f>
        <v>1</v>
      </c>
      <c r="K347" s="17"/>
      <c r="L347" s="16" t="s">
        <v>17</v>
      </c>
      <c r="M347" s="13"/>
      <c r="N347" s="18"/>
      <c r="O347" s="18"/>
      <c r="P347" s="18"/>
      <c r="Q347" s="15"/>
      <c r="R347" s="15"/>
      <c r="S347" s="19"/>
    </row>
    <row r="348" spans="1:19" x14ac:dyDescent="0.35">
      <c r="A348" s="20">
        <v>215</v>
      </c>
      <c r="B348" t="s">
        <v>105</v>
      </c>
      <c r="C348" s="22" t="s">
        <v>106</v>
      </c>
      <c r="D348" t="s">
        <v>105</v>
      </c>
      <c r="E348" t="s">
        <v>80</v>
      </c>
      <c r="F348" s="14">
        <v>50</v>
      </c>
      <c r="G348" s="15" t="s">
        <v>24</v>
      </c>
      <c r="H348" s="16">
        <f>INDEX(X:X, MATCH(G348, W:W, 0))*F348</f>
        <v>43.75</v>
      </c>
      <c r="I348" s="16">
        <f>IF(COUNTIF($W$3:$W$6, G348) &gt; 0, 0, 1)</f>
        <v>1</v>
      </c>
      <c r="J348" s="16">
        <f>IF(COUNTIF(W$3:W$5, G348) &gt; 0, 0, 1)</f>
        <v>1</v>
      </c>
      <c r="K348" s="17" t="s">
        <v>25</v>
      </c>
      <c r="L348" s="16" t="s">
        <v>17</v>
      </c>
      <c r="M348" s="13"/>
      <c r="N348" s="18"/>
      <c r="O348" s="18"/>
      <c r="P348" s="18"/>
      <c r="Q348" s="15"/>
      <c r="R348" s="15"/>
      <c r="S348" s="19"/>
    </row>
    <row r="349" spans="1:19" x14ac:dyDescent="0.35">
      <c r="A349" s="20">
        <v>222</v>
      </c>
      <c r="B349" t="s">
        <v>105</v>
      </c>
      <c r="C349" s="22" t="s">
        <v>106</v>
      </c>
      <c r="D349" t="s">
        <v>105</v>
      </c>
      <c r="E349" t="s">
        <v>80</v>
      </c>
      <c r="F349" s="14">
        <v>80</v>
      </c>
      <c r="G349" s="15" t="s">
        <v>24</v>
      </c>
      <c r="H349" s="16">
        <f>INDEX(X:X, MATCH(G349, W:W, 0))*F349</f>
        <v>70</v>
      </c>
      <c r="I349" s="16">
        <f>IF(COUNTIF($W$3:$W$6, G349) &gt; 0, 0, 1)</f>
        <v>1</v>
      </c>
      <c r="J349" s="16">
        <f>IF(COUNTIF(W$3:W$5, G349) &gt; 0, 0, 1)</f>
        <v>1</v>
      </c>
      <c r="K349" s="17" t="s">
        <v>37</v>
      </c>
      <c r="L349" s="16" t="s">
        <v>17</v>
      </c>
      <c r="M349" s="13"/>
      <c r="N349" s="18"/>
      <c r="O349" s="18"/>
      <c r="P349" s="18"/>
      <c r="Q349" s="15"/>
      <c r="R349" s="15"/>
      <c r="S349" s="19"/>
    </row>
    <row r="350" spans="1:19" x14ac:dyDescent="0.35">
      <c r="A350" s="20">
        <v>612</v>
      </c>
      <c r="B350" s="22" t="s">
        <v>106</v>
      </c>
      <c r="C350" s="22" t="s">
        <v>106</v>
      </c>
      <c r="D350" s="22" t="s">
        <v>106</v>
      </c>
      <c r="E350" t="s">
        <v>80</v>
      </c>
      <c r="F350" s="14">
        <v>50</v>
      </c>
      <c r="G350" s="15" t="s">
        <v>24</v>
      </c>
      <c r="H350" s="16">
        <f>INDEX(X:X, MATCH(G350, W:W, 0))*F350</f>
        <v>43.75</v>
      </c>
      <c r="I350" s="16">
        <f>IF(COUNTIF($W$3:$W$6, G350) &gt; 0, 0, 1)</f>
        <v>1</v>
      </c>
      <c r="J350" s="16">
        <f>IF(COUNTIF(W$3:W$5, G350) &gt; 0, 0, 1)</f>
        <v>1</v>
      </c>
      <c r="K350" s="17"/>
      <c r="L350" s="16" t="s">
        <v>17</v>
      </c>
      <c r="M350" s="13"/>
      <c r="N350" s="18"/>
      <c r="O350" s="18"/>
      <c r="P350" s="18"/>
      <c r="Q350" s="15"/>
      <c r="R350" s="15"/>
      <c r="S350" s="19"/>
    </row>
    <row r="351" spans="1:19" x14ac:dyDescent="0.35">
      <c r="A351" s="20">
        <v>51</v>
      </c>
      <c r="F351" s="14"/>
      <c r="G351" s="15"/>
      <c r="H351" s="16"/>
      <c r="I351" s="16"/>
      <c r="J351" s="16"/>
      <c r="K351" s="17"/>
      <c r="L351" s="16"/>
      <c r="M351" s="13"/>
      <c r="N351" s="18"/>
      <c r="O351" s="18"/>
      <c r="P351" s="18"/>
      <c r="Q351" s="15"/>
      <c r="R351" s="15"/>
      <c r="S351" s="19"/>
    </row>
    <row r="352" spans="1:19" x14ac:dyDescent="0.35">
      <c r="A352" s="20">
        <v>525</v>
      </c>
      <c r="F352" s="14"/>
      <c r="G352" s="15"/>
      <c r="H352" s="16"/>
      <c r="I352" s="16"/>
      <c r="J352" s="16"/>
      <c r="K352" s="17"/>
      <c r="L352" s="16"/>
      <c r="M352" s="13"/>
      <c r="N352" s="18"/>
      <c r="O352" s="18"/>
      <c r="P352" s="18"/>
      <c r="Q352" s="15"/>
      <c r="R352" s="15"/>
      <c r="S352" s="19"/>
    </row>
    <row r="353" spans="1:19" x14ac:dyDescent="0.35">
      <c r="A353" s="20">
        <v>561</v>
      </c>
      <c r="B353" t="s">
        <v>105</v>
      </c>
      <c r="C353" t="s">
        <v>105</v>
      </c>
      <c r="D353" t="s">
        <v>105</v>
      </c>
      <c r="E353" s="49" t="s">
        <v>105</v>
      </c>
      <c r="F353" s="14">
        <v>0</v>
      </c>
      <c r="G353" s="15" t="s">
        <v>18</v>
      </c>
      <c r="H353" s="16">
        <f>INDEX(X:X, MATCH(G353, W:W, 0))*F353</f>
        <v>0</v>
      </c>
      <c r="I353" s="16">
        <f>IF(COUNTIF($W$3:$W$6, G353) &gt; 0, 0, 1)</f>
        <v>0</v>
      </c>
      <c r="J353" s="16">
        <f>IF(COUNTIF(W$3:W$5, G353) &gt; 0, 0, 1)</f>
        <v>0</v>
      </c>
      <c r="K353" s="17"/>
      <c r="L353" s="16" t="s">
        <v>21</v>
      </c>
      <c r="M353" s="13"/>
      <c r="N353" s="18"/>
      <c r="O353" s="18"/>
      <c r="P353" s="18"/>
      <c r="Q353" s="15"/>
      <c r="R353" s="15"/>
      <c r="S353" s="19"/>
    </row>
  </sheetData>
  <sortState xmlns:xlrd2="http://schemas.microsoft.com/office/spreadsheetml/2017/richdata2" ref="A3:S353">
    <sortCondition descending="1" ref="L3:L353"/>
  </sortState>
  <mergeCells count="4">
    <mergeCell ref="A1:L1"/>
    <mergeCell ref="M1:S1"/>
    <mergeCell ref="W1:X1"/>
    <mergeCell ref="Y1:Z1"/>
  </mergeCells>
  <conditionalFormatting sqref="A5:A353">
    <cfRule type="colorScale" priority="128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14" priority="129"/>
    <cfRule type="duplicateValues" dxfId="13" priority="130"/>
  </conditionalFormatting>
  <conditionalFormatting sqref="B306 E306">
    <cfRule type="cellIs" dxfId="12" priority="7" operator="equal">
      <formula>$B$3</formula>
    </cfRule>
  </conditionalFormatting>
  <conditionalFormatting sqref="C3:C164 D3:D312 B3:B350 E5:E91 L38 E57:G57 L57 E92:G92 L92 E93:E96 E94:G94 E98:E350 B165:C175 C176:C350 E245:G245 L245 D313:E350 D340:G340 L340 B351:E353">
    <cfRule type="cellIs" dxfId="11" priority="23" operator="equal">
      <formula>$B$5</formula>
    </cfRule>
  </conditionalFormatting>
  <conditionalFormatting sqref="E2:E353 L38">
    <cfRule type="cellIs" dxfId="10" priority="17" operator="equal">
      <formula>$E$49</formula>
    </cfRule>
    <cfRule type="cellIs" dxfId="9" priority="18" operator="equal">
      <formula>$E$16</formula>
    </cfRule>
    <cfRule type="cellIs" dxfId="8" priority="19" operator="equal">
      <formula>$E$5</formula>
    </cfRule>
  </conditionalFormatting>
  <conditionalFormatting sqref="E5:E6">
    <cfRule type="containsText" dxfId="7" priority="20" operator="containsText" text="Restricted">
      <formula>NOT(ISERROR(SEARCH("Restricted",E5)))</formula>
    </cfRule>
  </conditionalFormatting>
  <conditionalFormatting sqref="E9">
    <cfRule type="containsText" dxfId="5" priority="10" operator="containsText" text="Restricted">
      <formula>NOT(ISERROR(SEARCH("Restricted",E9)))</formula>
    </cfRule>
  </conditionalFormatting>
  <conditionalFormatting sqref="E122">
    <cfRule type="containsText" dxfId="4" priority="9" operator="containsText" text="Restricted">
      <formula>NOT(ISERROR(SEARCH("Restricted",E122)))</formula>
    </cfRule>
  </conditionalFormatting>
  <conditionalFormatting sqref="E306">
    <cfRule type="cellIs" dxfId="2" priority="3" operator="equal">
      <formula>$E$47</formula>
    </cfRule>
    <cfRule type="cellIs" dxfId="1" priority="4" operator="equal">
      <formula>$E$14</formula>
    </cfRule>
    <cfRule type="cellIs" dxfId="0" priority="5" operator="equal">
      <formula>$E$3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2" operator="containsText" id="{7E451163-744F-4478-942C-AF2A82521379}">
            <xm:f>NOT(ISERROR(SEARCH($C$5,B3)))</xm:f>
            <xm:f>$C$5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E5:E91 L38 E57:G57 E92:G92 E93:E96 E94:G94 E98:E350 E245:G245 D313:E350 D340:G340 B3:B350 C3:C164 D3:D312 L57 L92 B165:C175 C176:C350 L245 L340 B351:E353</xm:sqref>
        </x14:conditionalFormatting>
        <x14:conditionalFormatting xmlns:xm="http://schemas.microsoft.com/office/excel/2006/main">
          <x14:cfRule type="containsText" priority="6" operator="containsText" id="{3D1463AF-8F89-4EEA-9814-DD639A5D048F}">
            <xm:f>NOT(ISERROR(SEARCH($C$3,B306)))</xm:f>
            <xm:f>$C$3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E306 B306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624CE-1222-4B6C-858E-F4B953C5C1D7}">
  <dimension ref="A1:K349"/>
  <sheetViews>
    <sheetView workbookViewId="0"/>
  </sheetViews>
  <sheetFormatPr defaultRowHeight="14.5" x14ac:dyDescent="0.35"/>
  <sheetData>
    <row r="1" spans="1:11" x14ac:dyDescent="0.35">
      <c r="A1" t="str" cm="1">
        <f t="array" ref="A1:K349">Sheet1!A2:K350</f>
        <v>IID</v>
      </c>
      <c r="B1" t="str">
        <v>Flecking (white)</v>
      </c>
      <c r="C1" t="str">
        <v>Chlorosis (red)</v>
      </c>
      <c r="D1" t="str">
        <v>Necrosis</v>
      </c>
      <c r="E1" t="str">
        <v>Active sporulation (restr./not restr.)</v>
      </c>
      <c r="F1" t="str">
        <v>Coverage</v>
      </c>
      <c r="G1" t="str">
        <v>Imm. resp.</v>
      </c>
      <c r="H1" t="str">
        <v>COI scores</v>
      </c>
      <c r="I1" t="str">
        <v>Binary_MS</v>
      </c>
      <c r="J1" t="str">
        <v>Binary_MRMS</v>
      </c>
      <c r="K1" t="str">
        <v>Notes</v>
      </c>
    </row>
    <row r="2" spans="1:11" x14ac:dyDescent="0.35">
      <c r="A2">
        <v>33</v>
      </c>
      <c r="B2" t="str">
        <v>No</v>
      </c>
      <c r="C2" t="str">
        <v>No</v>
      </c>
      <c r="D2" t="str">
        <v>No</v>
      </c>
      <c r="E2" t="str">
        <v>No</v>
      </c>
      <c r="F2">
        <v>0</v>
      </c>
      <c r="G2" t="str">
        <v>HR</v>
      </c>
      <c r="H2">
        <v>0</v>
      </c>
      <c r="I2">
        <v>0</v>
      </c>
      <c r="J2">
        <v>0</v>
      </c>
      <c r="K2">
        <v>0</v>
      </c>
    </row>
    <row r="3" spans="1:11" x14ac:dyDescent="0.35">
      <c r="A3">
        <v>35</v>
      </c>
      <c r="B3" t="str">
        <v>No</v>
      </c>
      <c r="C3" t="str">
        <v>No</v>
      </c>
      <c r="D3" t="str">
        <v>No</v>
      </c>
      <c r="E3" t="str">
        <v>No</v>
      </c>
      <c r="F3">
        <v>0</v>
      </c>
      <c r="G3" t="str">
        <v>HR</v>
      </c>
      <c r="H3">
        <v>0</v>
      </c>
      <c r="I3">
        <v>0</v>
      </c>
      <c r="J3">
        <v>0</v>
      </c>
      <c r="K3">
        <v>0</v>
      </c>
    </row>
    <row r="4" spans="1:11" x14ac:dyDescent="0.35">
      <c r="A4">
        <v>60</v>
      </c>
      <c r="B4" t="str">
        <v>No</v>
      </c>
      <c r="C4" t="str">
        <v>No</v>
      </c>
      <c r="D4" t="str">
        <v>No</v>
      </c>
      <c r="E4" t="str">
        <v>No</v>
      </c>
      <c r="F4">
        <v>0</v>
      </c>
      <c r="G4" t="str">
        <v>HR</v>
      </c>
      <c r="H4">
        <v>0</v>
      </c>
      <c r="I4">
        <v>0</v>
      </c>
      <c r="J4">
        <v>0</v>
      </c>
      <c r="K4">
        <v>0</v>
      </c>
    </row>
    <row r="5" spans="1:11" x14ac:dyDescent="0.35">
      <c r="A5">
        <v>94</v>
      </c>
      <c r="B5" t="str">
        <v>No</v>
      </c>
      <c r="C5" t="str">
        <v>No</v>
      </c>
      <c r="D5" t="str">
        <v>No</v>
      </c>
      <c r="E5" t="str">
        <v>No</v>
      </c>
      <c r="F5">
        <v>0</v>
      </c>
      <c r="G5" t="str">
        <v>HR</v>
      </c>
      <c r="H5">
        <v>0</v>
      </c>
      <c r="I5">
        <v>0</v>
      </c>
      <c r="J5">
        <v>0</v>
      </c>
      <c r="K5">
        <v>0</v>
      </c>
    </row>
    <row r="6" spans="1:11" x14ac:dyDescent="0.35">
      <c r="A6">
        <v>109</v>
      </c>
      <c r="B6" t="str">
        <v>No</v>
      </c>
      <c r="C6" t="str">
        <v>No</v>
      </c>
      <c r="D6" t="str">
        <v>No</v>
      </c>
      <c r="E6" t="str">
        <v>No</v>
      </c>
      <c r="F6">
        <v>0</v>
      </c>
      <c r="G6" t="str">
        <v>HR</v>
      </c>
      <c r="H6">
        <v>0</v>
      </c>
      <c r="I6">
        <v>0</v>
      </c>
      <c r="J6">
        <v>0</v>
      </c>
      <c r="K6">
        <v>0</v>
      </c>
    </row>
    <row r="7" spans="1:11" x14ac:dyDescent="0.35">
      <c r="A7">
        <v>110</v>
      </c>
      <c r="B7" t="str">
        <v>No</v>
      </c>
      <c r="C7" t="str">
        <v>No</v>
      </c>
      <c r="D7" t="str">
        <v>No</v>
      </c>
      <c r="E7" t="str">
        <v>No</v>
      </c>
      <c r="F7">
        <v>0</v>
      </c>
      <c r="G7" t="str">
        <v>HR</v>
      </c>
      <c r="H7">
        <v>0</v>
      </c>
      <c r="I7">
        <v>0</v>
      </c>
      <c r="J7">
        <v>0</v>
      </c>
      <c r="K7">
        <v>0</v>
      </c>
    </row>
    <row r="8" spans="1:11" x14ac:dyDescent="0.35">
      <c r="A8">
        <v>113</v>
      </c>
      <c r="B8" t="str">
        <v>No</v>
      </c>
      <c r="C8" t="str">
        <v>No</v>
      </c>
      <c r="D8" t="str">
        <v>No</v>
      </c>
      <c r="E8" t="str">
        <v>No</v>
      </c>
      <c r="F8">
        <v>0</v>
      </c>
      <c r="G8" t="str">
        <v>HR</v>
      </c>
      <c r="H8">
        <v>0</v>
      </c>
      <c r="I8">
        <v>0</v>
      </c>
      <c r="J8">
        <v>0</v>
      </c>
      <c r="K8">
        <v>0</v>
      </c>
    </row>
    <row r="9" spans="1:11" x14ac:dyDescent="0.35">
      <c r="A9">
        <v>115</v>
      </c>
      <c r="B9" t="str">
        <v>No</v>
      </c>
      <c r="C9" t="str">
        <v>No</v>
      </c>
      <c r="D9" t="str">
        <v>No</v>
      </c>
      <c r="E9" t="str">
        <v>No</v>
      </c>
      <c r="F9">
        <v>0</v>
      </c>
      <c r="G9" t="str">
        <v>HR</v>
      </c>
      <c r="H9">
        <v>0</v>
      </c>
      <c r="I9">
        <v>0</v>
      </c>
      <c r="J9">
        <v>0</v>
      </c>
      <c r="K9" t="str">
        <v>Only flecking on more mature leaves, discounted.</v>
      </c>
    </row>
    <row r="10" spans="1:11" x14ac:dyDescent="0.35">
      <c r="A10">
        <v>148</v>
      </c>
      <c r="B10" t="str">
        <v>No</v>
      </c>
      <c r="C10" t="str">
        <v>No</v>
      </c>
      <c r="D10" t="str">
        <v>No</v>
      </c>
      <c r="E10" t="str">
        <v>No</v>
      </c>
      <c r="F10">
        <v>0</v>
      </c>
      <c r="G10" t="str">
        <v>HR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>
        <v>168</v>
      </c>
      <c r="B11" t="str">
        <v>No</v>
      </c>
      <c r="C11" t="str">
        <v>No</v>
      </c>
      <c r="D11" t="str">
        <v>No</v>
      </c>
      <c r="E11" t="str">
        <v>No</v>
      </c>
      <c r="F11">
        <v>0</v>
      </c>
      <c r="G11" t="str">
        <v>HR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>
        <v>183</v>
      </c>
      <c r="B12" t="str">
        <v>No</v>
      </c>
      <c r="C12" t="str">
        <v>No</v>
      </c>
      <c r="D12" t="str">
        <v>No</v>
      </c>
      <c r="E12" t="str">
        <v>No</v>
      </c>
      <c r="F12">
        <v>0</v>
      </c>
      <c r="G12" t="str">
        <v>HR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>
        <v>184</v>
      </c>
      <c r="B13" t="str">
        <v>No</v>
      </c>
      <c r="C13" t="str">
        <v>No</v>
      </c>
      <c r="D13" t="str">
        <v>No</v>
      </c>
      <c r="E13" t="str">
        <v>No</v>
      </c>
      <c r="F13">
        <v>0</v>
      </c>
      <c r="G13" t="str">
        <v>HR</v>
      </c>
      <c r="H13">
        <v>0</v>
      </c>
      <c r="I13">
        <v>0</v>
      </c>
      <c r="J13">
        <v>0</v>
      </c>
      <c r="K13">
        <v>0</v>
      </c>
    </row>
    <row r="14" spans="1:11" x14ac:dyDescent="0.35">
      <c r="A14">
        <v>202</v>
      </c>
      <c r="B14" t="str">
        <v>No</v>
      </c>
      <c r="C14" t="str">
        <v>No</v>
      </c>
      <c r="D14" t="str">
        <v>No</v>
      </c>
      <c r="E14" t="str">
        <v>No</v>
      </c>
      <c r="F14">
        <v>0</v>
      </c>
      <c r="G14" t="str">
        <v>HR</v>
      </c>
      <c r="H14">
        <v>0</v>
      </c>
      <c r="I14">
        <v>0</v>
      </c>
      <c r="J14">
        <v>0</v>
      </c>
      <c r="K14">
        <v>0</v>
      </c>
    </row>
    <row r="15" spans="1:11" x14ac:dyDescent="0.35">
      <c r="A15">
        <v>219</v>
      </c>
      <c r="B15" t="str">
        <v>No</v>
      </c>
      <c r="C15" t="str">
        <v>No</v>
      </c>
      <c r="D15" t="str">
        <v>No</v>
      </c>
      <c r="E15" t="str">
        <v>No</v>
      </c>
      <c r="F15">
        <v>0</v>
      </c>
      <c r="G15" t="str">
        <v>HR</v>
      </c>
      <c r="H15">
        <v>0</v>
      </c>
      <c r="I15">
        <v>0</v>
      </c>
      <c r="J15">
        <v>0</v>
      </c>
      <c r="K15">
        <v>0</v>
      </c>
    </row>
    <row r="16" spans="1:11" x14ac:dyDescent="0.35">
      <c r="A16">
        <v>242</v>
      </c>
      <c r="B16" t="str">
        <v>No</v>
      </c>
      <c r="C16" t="str">
        <v>No</v>
      </c>
      <c r="D16" t="str">
        <v>No</v>
      </c>
      <c r="E16" t="str">
        <v>No</v>
      </c>
      <c r="F16">
        <v>0</v>
      </c>
      <c r="G16" t="str">
        <v>HR</v>
      </c>
      <c r="H16">
        <v>0</v>
      </c>
      <c r="I16">
        <v>0</v>
      </c>
      <c r="J16">
        <v>0</v>
      </c>
      <c r="K16">
        <v>0</v>
      </c>
    </row>
    <row r="17" spans="1:11" x14ac:dyDescent="0.35">
      <c r="A17">
        <v>244</v>
      </c>
      <c r="B17" t="str">
        <v>No</v>
      </c>
      <c r="C17" t="str">
        <v>No</v>
      </c>
      <c r="D17" t="str">
        <v>No</v>
      </c>
      <c r="E17" t="str">
        <v>No</v>
      </c>
      <c r="F17">
        <v>0</v>
      </c>
      <c r="G17" t="str">
        <v>HR</v>
      </c>
      <c r="H17">
        <v>0</v>
      </c>
      <c r="I17">
        <v>0</v>
      </c>
      <c r="J17">
        <v>0</v>
      </c>
      <c r="K17">
        <v>0</v>
      </c>
    </row>
    <row r="18" spans="1:11" x14ac:dyDescent="0.35">
      <c r="A18">
        <v>294</v>
      </c>
      <c r="B18" t="str">
        <v>No</v>
      </c>
      <c r="C18" t="str">
        <v>No</v>
      </c>
      <c r="D18" t="str">
        <v>No</v>
      </c>
      <c r="E18" t="str">
        <v>No</v>
      </c>
      <c r="F18">
        <v>0</v>
      </c>
      <c r="G18" t="str">
        <v>HR</v>
      </c>
      <c r="H18">
        <v>0</v>
      </c>
      <c r="I18">
        <v>0</v>
      </c>
      <c r="J18">
        <v>0</v>
      </c>
      <c r="K18">
        <v>0</v>
      </c>
    </row>
    <row r="19" spans="1:11" x14ac:dyDescent="0.35">
      <c r="A19">
        <v>295</v>
      </c>
      <c r="B19" t="str">
        <v>No</v>
      </c>
      <c r="C19" t="str">
        <v>No</v>
      </c>
      <c r="D19" t="str">
        <v>No</v>
      </c>
      <c r="E19" t="str">
        <v>No</v>
      </c>
      <c r="F19">
        <v>0</v>
      </c>
      <c r="G19" t="str">
        <v>HR</v>
      </c>
      <c r="H19">
        <v>0</v>
      </c>
      <c r="I19">
        <v>0</v>
      </c>
      <c r="J19">
        <v>0</v>
      </c>
      <c r="K19" t="str">
        <v>Limited new growth</v>
      </c>
    </row>
    <row r="20" spans="1:11" x14ac:dyDescent="0.35">
      <c r="A20">
        <v>297</v>
      </c>
      <c r="B20" t="str">
        <v>No</v>
      </c>
      <c r="C20" t="str">
        <v>No</v>
      </c>
      <c r="D20" t="str">
        <v>No</v>
      </c>
      <c r="E20" t="str">
        <v>No</v>
      </c>
      <c r="F20">
        <v>0</v>
      </c>
      <c r="G20" t="str">
        <v>HR</v>
      </c>
      <c r="H20">
        <v>0</v>
      </c>
      <c r="I20">
        <v>0</v>
      </c>
      <c r="J20">
        <v>0</v>
      </c>
      <c r="K20" t="str">
        <v>Limited new growth</v>
      </c>
    </row>
    <row r="21" spans="1:11" x14ac:dyDescent="0.35">
      <c r="A21">
        <v>311</v>
      </c>
      <c r="B21" t="str">
        <v>No</v>
      </c>
      <c r="C21" t="str">
        <v>No</v>
      </c>
      <c r="D21" t="str">
        <v>No</v>
      </c>
      <c r="E21" t="str">
        <v>No</v>
      </c>
      <c r="F21">
        <v>0</v>
      </c>
      <c r="G21" t="str">
        <v>HR</v>
      </c>
      <c r="H21">
        <v>0</v>
      </c>
      <c r="I21">
        <v>0</v>
      </c>
      <c r="J21">
        <v>0</v>
      </c>
      <c r="K21">
        <v>0</v>
      </c>
    </row>
    <row r="22" spans="1:11" x14ac:dyDescent="0.35">
      <c r="A22">
        <v>317</v>
      </c>
      <c r="B22" t="str">
        <v>No</v>
      </c>
      <c r="C22" t="str">
        <v>No</v>
      </c>
      <c r="D22" t="str">
        <v>No</v>
      </c>
      <c r="E22" t="str">
        <v>No</v>
      </c>
      <c r="F22">
        <v>0</v>
      </c>
      <c r="G22" t="str">
        <v>HR</v>
      </c>
      <c r="H22">
        <v>0</v>
      </c>
      <c r="I22">
        <v>0</v>
      </c>
      <c r="J22">
        <v>0</v>
      </c>
      <c r="K22">
        <v>0</v>
      </c>
    </row>
    <row r="23" spans="1:11" x14ac:dyDescent="0.35">
      <c r="A23">
        <v>331</v>
      </c>
      <c r="B23" t="str">
        <v>No</v>
      </c>
      <c r="C23" t="str">
        <v>No</v>
      </c>
      <c r="D23" t="str">
        <v>No</v>
      </c>
      <c r="E23" t="str">
        <v>No</v>
      </c>
      <c r="F23">
        <v>0</v>
      </c>
      <c r="G23" t="str">
        <v>HR</v>
      </c>
      <c r="H23">
        <v>0</v>
      </c>
      <c r="I23">
        <v>0</v>
      </c>
      <c r="J23">
        <v>0</v>
      </c>
      <c r="K23">
        <v>0</v>
      </c>
    </row>
    <row r="24" spans="1:11" x14ac:dyDescent="0.35">
      <c r="A24">
        <v>337</v>
      </c>
      <c r="B24" t="str">
        <v>No</v>
      </c>
      <c r="C24" t="str">
        <v>No</v>
      </c>
      <c r="D24" t="str">
        <v>No</v>
      </c>
      <c r="E24" t="str">
        <v>No</v>
      </c>
      <c r="F24">
        <v>0</v>
      </c>
      <c r="G24" t="str">
        <v>HR</v>
      </c>
      <c r="H24">
        <v>0</v>
      </c>
      <c r="I24">
        <v>0</v>
      </c>
      <c r="J24">
        <v>0</v>
      </c>
      <c r="K24">
        <v>0</v>
      </c>
    </row>
    <row r="25" spans="1:11" x14ac:dyDescent="0.35">
      <c r="A25">
        <v>338</v>
      </c>
      <c r="B25" t="str">
        <v>No</v>
      </c>
      <c r="C25" t="str">
        <v>No</v>
      </c>
      <c r="D25" t="str">
        <v>No</v>
      </c>
      <c r="E25" t="str">
        <v>No</v>
      </c>
      <c r="F25">
        <v>0</v>
      </c>
      <c r="G25" t="str">
        <v>HR</v>
      </c>
      <c r="H25">
        <v>0</v>
      </c>
      <c r="I25">
        <v>0</v>
      </c>
      <c r="J25">
        <v>0</v>
      </c>
      <c r="K25">
        <v>0</v>
      </c>
    </row>
    <row r="26" spans="1:11" x14ac:dyDescent="0.35">
      <c r="A26">
        <v>354</v>
      </c>
      <c r="B26" t="str">
        <v>No</v>
      </c>
      <c r="C26" t="str">
        <v>No</v>
      </c>
      <c r="D26" t="str">
        <v>No</v>
      </c>
      <c r="E26" t="str">
        <v>No</v>
      </c>
      <c r="F26">
        <v>0</v>
      </c>
      <c r="G26" t="str">
        <v>HR</v>
      </c>
      <c r="H26">
        <v>0</v>
      </c>
      <c r="I26">
        <v>0</v>
      </c>
      <c r="J26">
        <v>0</v>
      </c>
      <c r="K26">
        <v>0</v>
      </c>
    </row>
    <row r="27" spans="1:11" x14ac:dyDescent="0.35">
      <c r="A27">
        <v>355</v>
      </c>
      <c r="B27" t="str">
        <v>No</v>
      </c>
      <c r="C27" t="str">
        <v>No</v>
      </c>
      <c r="D27" t="str">
        <v>No</v>
      </c>
      <c r="E27" t="str">
        <v>No</v>
      </c>
      <c r="F27">
        <v>0</v>
      </c>
      <c r="G27" t="str">
        <v>HR</v>
      </c>
      <c r="H27">
        <v>0</v>
      </c>
      <c r="I27">
        <v>0</v>
      </c>
      <c r="J27">
        <v>0</v>
      </c>
      <c r="K27">
        <v>0</v>
      </c>
    </row>
    <row r="28" spans="1:11" x14ac:dyDescent="0.35">
      <c r="A28">
        <v>359</v>
      </c>
      <c r="B28" t="str">
        <v>No</v>
      </c>
      <c r="C28" t="str">
        <v>No</v>
      </c>
      <c r="D28" t="str">
        <v>No</v>
      </c>
      <c r="E28" t="str">
        <v>No</v>
      </c>
      <c r="F28">
        <v>0</v>
      </c>
      <c r="G28" t="str">
        <v>HR</v>
      </c>
      <c r="H28">
        <v>0</v>
      </c>
      <c r="I28">
        <v>0</v>
      </c>
      <c r="J28">
        <v>0</v>
      </c>
      <c r="K28">
        <v>0</v>
      </c>
    </row>
    <row r="29" spans="1:11" x14ac:dyDescent="0.35">
      <c r="A29">
        <v>387</v>
      </c>
      <c r="B29" t="str">
        <v>No</v>
      </c>
      <c r="C29" t="str">
        <v>No</v>
      </c>
      <c r="D29" t="str">
        <v>No</v>
      </c>
      <c r="E29" t="str">
        <v>No</v>
      </c>
      <c r="F29">
        <v>0</v>
      </c>
      <c r="G29" t="str">
        <v>HR</v>
      </c>
      <c r="H29">
        <v>0</v>
      </c>
      <c r="I29">
        <v>0</v>
      </c>
      <c r="J29">
        <v>0</v>
      </c>
      <c r="K29">
        <v>0</v>
      </c>
    </row>
    <row r="30" spans="1:11" x14ac:dyDescent="0.35">
      <c r="A30">
        <v>407</v>
      </c>
      <c r="B30" t="str">
        <v>No</v>
      </c>
      <c r="C30" t="str">
        <v>No</v>
      </c>
      <c r="D30" t="str">
        <v>No</v>
      </c>
      <c r="E30" t="str">
        <v>No</v>
      </c>
      <c r="F30">
        <v>0</v>
      </c>
      <c r="G30" t="str">
        <v>HR</v>
      </c>
      <c r="H30">
        <v>0</v>
      </c>
      <c r="I30">
        <v>0</v>
      </c>
      <c r="J30">
        <v>0</v>
      </c>
      <c r="K30">
        <v>0</v>
      </c>
    </row>
    <row r="31" spans="1:11" x14ac:dyDescent="0.35">
      <c r="A31">
        <v>409</v>
      </c>
      <c r="B31" t="str">
        <v>No</v>
      </c>
      <c r="C31" t="str">
        <v>No</v>
      </c>
      <c r="D31" t="str">
        <v>No</v>
      </c>
      <c r="E31" t="str">
        <v>No</v>
      </c>
      <c r="F31">
        <v>0</v>
      </c>
      <c r="G31" t="str">
        <v>HR</v>
      </c>
      <c r="H31">
        <v>0</v>
      </c>
      <c r="I31">
        <v>0</v>
      </c>
      <c r="J31">
        <v>0</v>
      </c>
      <c r="K31">
        <v>0</v>
      </c>
    </row>
    <row r="32" spans="1:11" x14ac:dyDescent="0.35">
      <c r="A32">
        <v>410</v>
      </c>
      <c r="B32" t="str">
        <v>No</v>
      </c>
      <c r="C32" t="str">
        <v>No</v>
      </c>
      <c r="D32" t="str">
        <v>No</v>
      </c>
      <c r="E32" t="str">
        <v>No</v>
      </c>
      <c r="F32">
        <v>0</v>
      </c>
      <c r="G32" t="str">
        <v>HR</v>
      </c>
      <c r="H32">
        <v>0</v>
      </c>
      <c r="I32">
        <v>0</v>
      </c>
      <c r="J32">
        <v>0</v>
      </c>
      <c r="K32" t="str">
        <v>Mealy bug on bottom heavy load</v>
      </c>
    </row>
    <row r="33" spans="1:11" x14ac:dyDescent="0.35">
      <c r="A33">
        <v>411</v>
      </c>
      <c r="B33" t="str">
        <v>No</v>
      </c>
      <c r="C33" t="str">
        <v>No</v>
      </c>
      <c r="D33" t="str">
        <v>No</v>
      </c>
      <c r="E33" t="str">
        <v>No</v>
      </c>
      <c r="F33">
        <v>0</v>
      </c>
      <c r="G33" t="str">
        <v>HR</v>
      </c>
      <c r="H33">
        <v>0</v>
      </c>
      <c r="I33">
        <v>0</v>
      </c>
      <c r="J33">
        <v>0</v>
      </c>
      <c r="K33">
        <v>0</v>
      </c>
    </row>
    <row r="34" spans="1:11" x14ac:dyDescent="0.35">
      <c r="A34">
        <v>446</v>
      </c>
      <c r="B34" t="str">
        <v>No</v>
      </c>
      <c r="C34" t="str">
        <v>No</v>
      </c>
      <c r="D34" t="str">
        <v>No</v>
      </c>
      <c r="E34" t="str">
        <v>No</v>
      </c>
      <c r="F34">
        <v>0</v>
      </c>
      <c r="G34" t="str">
        <v>HR</v>
      </c>
      <c r="H34">
        <v>0</v>
      </c>
      <c r="I34">
        <v>0</v>
      </c>
      <c r="J34">
        <v>0</v>
      </c>
      <c r="K34">
        <v>0</v>
      </c>
    </row>
    <row r="35" spans="1:11" x14ac:dyDescent="0.35">
      <c r="A35">
        <v>449</v>
      </c>
      <c r="B35" t="str">
        <v>No</v>
      </c>
      <c r="C35" t="str">
        <v>No</v>
      </c>
      <c r="D35" t="str">
        <v>No</v>
      </c>
      <c r="E35" t="str">
        <v>No</v>
      </c>
      <c r="F35">
        <v>0</v>
      </c>
      <c r="G35" t="str">
        <v>HR</v>
      </c>
      <c r="H35">
        <v>0</v>
      </c>
      <c r="I35">
        <v>0</v>
      </c>
      <c r="J35">
        <v>0</v>
      </c>
      <c r="K35">
        <v>0</v>
      </c>
    </row>
    <row r="36" spans="1:11" x14ac:dyDescent="0.35">
      <c r="A36">
        <v>464</v>
      </c>
      <c r="B36" t="str">
        <v>No</v>
      </c>
      <c r="C36" t="str">
        <v>No</v>
      </c>
      <c r="D36" t="str">
        <v>No</v>
      </c>
      <c r="E36" t="str">
        <v>No</v>
      </c>
      <c r="F36">
        <v>0</v>
      </c>
      <c r="G36" t="str">
        <v>HR</v>
      </c>
      <c r="H36">
        <v>0</v>
      </c>
      <c r="I36">
        <v>0</v>
      </c>
      <c r="J36">
        <v>0</v>
      </c>
      <c r="K36">
        <v>0</v>
      </c>
    </row>
    <row r="37" spans="1:11" x14ac:dyDescent="0.35">
      <c r="A37">
        <v>466</v>
      </c>
      <c r="B37" t="str">
        <v>No</v>
      </c>
      <c r="C37" t="str">
        <v>No</v>
      </c>
      <c r="D37" t="str">
        <v>No</v>
      </c>
      <c r="E37" t="str">
        <v>No</v>
      </c>
      <c r="F37">
        <v>0</v>
      </c>
      <c r="G37" t="str">
        <v>HR</v>
      </c>
      <c r="H37">
        <v>0</v>
      </c>
      <c r="I37">
        <v>0</v>
      </c>
      <c r="J37">
        <v>0</v>
      </c>
      <c r="K37">
        <v>0</v>
      </c>
    </row>
    <row r="38" spans="1:11" x14ac:dyDescent="0.35">
      <c r="A38">
        <v>468</v>
      </c>
      <c r="B38" t="str">
        <v>No</v>
      </c>
      <c r="C38" t="str">
        <v>No</v>
      </c>
      <c r="D38" t="str">
        <v>No</v>
      </c>
      <c r="E38" t="str">
        <v>No</v>
      </c>
      <c r="F38">
        <v>0</v>
      </c>
      <c r="G38" t="str">
        <v>HR</v>
      </c>
      <c r="H38">
        <v>0</v>
      </c>
      <c r="I38">
        <v>0</v>
      </c>
      <c r="J38">
        <v>0</v>
      </c>
      <c r="K38">
        <v>0</v>
      </c>
    </row>
    <row r="39" spans="1:11" x14ac:dyDescent="0.35">
      <c r="A39">
        <v>470</v>
      </c>
      <c r="B39" t="str">
        <v>No</v>
      </c>
      <c r="C39" t="str">
        <v>No</v>
      </c>
      <c r="D39" t="str">
        <v>No</v>
      </c>
      <c r="E39" t="str">
        <v>No</v>
      </c>
      <c r="F39">
        <v>0</v>
      </c>
      <c r="G39" t="str">
        <v>HR</v>
      </c>
      <c r="H39">
        <v>0</v>
      </c>
      <c r="I39">
        <v>0</v>
      </c>
      <c r="J39">
        <v>0</v>
      </c>
      <c r="K39">
        <v>0</v>
      </c>
    </row>
    <row r="40" spans="1:11" x14ac:dyDescent="0.35">
      <c r="A40">
        <v>482</v>
      </c>
      <c r="B40" t="str">
        <v>No</v>
      </c>
      <c r="C40" t="str">
        <v>No</v>
      </c>
      <c r="D40" t="str">
        <v>No</v>
      </c>
      <c r="E40" t="str">
        <v>No</v>
      </c>
      <c r="F40">
        <v>0</v>
      </c>
      <c r="G40" t="str">
        <v>HR</v>
      </c>
      <c r="H40">
        <v>0</v>
      </c>
      <c r="I40">
        <v>0</v>
      </c>
      <c r="J40">
        <v>0</v>
      </c>
      <c r="K40" t="str">
        <v>Mealy bug coverage</v>
      </c>
    </row>
    <row r="41" spans="1:11" x14ac:dyDescent="0.35">
      <c r="A41">
        <v>485</v>
      </c>
      <c r="B41" t="str">
        <v>No</v>
      </c>
      <c r="C41" t="str">
        <v>No</v>
      </c>
      <c r="D41" t="str">
        <v>No</v>
      </c>
      <c r="E41" t="str">
        <v>No</v>
      </c>
      <c r="F41">
        <v>0</v>
      </c>
      <c r="G41" t="str">
        <v>HR</v>
      </c>
      <c r="H41">
        <v>0</v>
      </c>
      <c r="I41">
        <v>0</v>
      </c>
      <c r="J41">
        <v>0</v>
      </c>
      <c r="K41">
        <v>0</v>
      </c>
    </row>
    <row r="42" spans="1:11" x14ac:dyDescent="0.35">
      <c r="A42">
        <v>489</v>
      </c>
      <c r="B42" t="str">
        <v>No</v>
      </c>
      <c r="C42" t="str">
        <v>No</v>
      </c>
      <c r="D42" t="str">
        <v>No</v>
      </c>
      <c r="E42" t="str">
        <v>No</v>
      </c>
      <c r="F42">
        <v>0</v>
      </c>
      <c r="G42" t="str">
        <v>HR</v>
      </c>
      <c r="H42">
        <v>0</v>
      </c>
      <c r="I42">
        <v>0</v>
      </c>
      <c r="J42">
        <v>0</v>
      </c>
      <c r="K42">
        <v>0</v>
      </c>
    </row>
    <row r="43" spans="1:11" x14ac:dyDescent="0.35">
      <c r="A43">
        <v>490</v>
      </c>
      <c r="B43" t="str">
        <v>No</v>
      </c>
      <c r="C43" t="str">
        <v>No</v>
      </c>
      <c r="D43" t="str">
        <v>No</v>
      </c>
      <c r="E43" t="str">
        <v>No</v>
      </c>
      <c r="F43">
        <v>0</v>
      </c>
      <c r="G43" t="str">
        <v>HR</v>
      </c>
      <c r="H43">
        <v>0</v>
      </c>
      <c r="I43">
        <v>0</v>
      </c>
      <c r="J43">
        <v>0</v>
      </c>
      <c r="K43">
        <v>0</v>
      </c>
    </row>
    <row r="44" spans="1:11" x14ac:dyDescent="0.35">
      <c r="A44">
        <v>504</v>
      </c>
      <c r="B44" t="str">
        <v>No</v>
      </c>
      <c r="C44" t="str">
        <v>No</v>
      </c>
      <c r="D44" t="str">
        <v>No</v>
      </c>
      <c r="E44" t="str">
        <v>No</v>
      </c>
      <c r="F44">
        <v>0</v>
      </c>
      <c r="G44" t="str">
        <v>HR</v>
      </c>
      <c r="H44">
        <v>0</v>
      </c>
      <c r="I44">
        <v>0</v>
      </c>
      <c r="J44">
        <v>0</v>
      </c>
      <c r="K44">
        <v>0</v>
      </c>
    </row>
    <row r="45" spans="1:11" x14ac:dyDescent="0.35">
      <c r="A45">
        <v>521</v>
      </c>
      <c r="B45" t="str">
        <v>No</v>
      </c>
      <c r="C45" t="str">
        <v>No</v>
      </c>
      <c r="D45" t="str">
        <v>No</v>
      </c>
      <c r="E45" t="str">
        <v>No</v>
      </c>
      <c r="F45">
        <v>0</v>
      </c>
      <c r="G45" t="str">
        <v>HR</v>
      </c>
      <c r="H45">
        <v>0</v>
      </c>
      <c r="I45">
        <v>0</v>
      </c>
      <c r="J45">
        <v>0</v>
      </c>
      <c r="K45">
        <v>0</v>
      </c>
    </row>
    <row r="46" spans="1:11" x14ac:dyDescent="0.35">
      <c r="A46">
        <v>522</v>
      </c>
      <c r="B46" t="str">
        <v>No</v>
      </c>
      <c r="C46" t="str">
        <v>No</v>
      </c>
      <c r="D46" t="str">
        <v>No</v>
      </c>
      <c r="E46" t="str">
        <v>No</v>
      </c>
      <c r="F46">
        <v>0</v>
      </c>
      <c r="G46" t="str">
        <v>HR</v>
      </c>
      <c r="H46">
        <v>0</v>
      </c>
      <c r="I46">
        <v>0</v>
      </c>
      <c r="J46">
        <v>0</v>
      </c>
      <c r="K46">
        <v>0</v>
      </c>
    </row>
    <row r="47" spans="1:11" x14ac:dyDescent="0.35">
      <c r="A47">
        <v>536</v>
      </c>
      <c r="B47" t="str">
        <v>No</v>
      </c>
      <c r="C47" t="str">
        <v>No</v>
      </c>
      <c r="D47" t="str">
        <v>No</v>
      </c>
      <c r="E47" t="str">
        <v>No</v>
      </c>
      <c r="F47">
        <v>0</v>
      </c>
      <c r="G47" t="str">
        <v>HR</v>
      </c>
      <c r="H47">
        <v>0</v>
      </c>
      <c r="I47">
        <v>0</v>
      </c>
      <c r="J47">
        <v>0</v>
      </c>
      <c r="K47">
        <v>0</v>
      </c>
    </row>
    <row r="48" spans="1:11" x14ac:dyDescent="0.35">
      <c r="A48">
        <v>537</v>
      </c>
      <c r="B48" t="str">
        <v>No</v>
      </c>
      <c r="C48" t="str">
        <v>No</v>
      </c>
      <c r="D48" t="str">
        <v>No</v>
      </c>
      <c r="E48" t="str">
        <v>No</v>
      </c>
      <c r="F48">
        <v>0</v>
      </c>
      <c r="G48" t="str">
        <v>HR</v>
      </c>
      <c r="H48">
        <v>0</v>
      </c>
      <c r="I48">
        <v>0</v>
      </c>
      <c r="J48">
        <v>0</v>
      </c>
      <c r="K48">
        <v>0</v>
      </c>
    </row>
    <row r="49" spans="1:11" x14ac:dyDescent="0.35">
      <c r="A49">
        <v>542</v>
      </c>
      <c r="B49" t="str">
        <v>No</v>
      </c>
      <c r="C49" t="str">
        <v>No</v>
      </c>
      <c r="D49" t="str">
        <v>No</v>
      </c>
      <c r="E49" t="str">
        <v>No</v>
      </c>
      <c r="F49">
        <v>0</v>
      </c>
      <c r="G49" t="str">
        <v>HR</v>
      </c>
      <c r="H49">
        <v>0</v>
      </c>
      <c r="I49">
        <v>0</v>
      </c>
      <c r="J49">
        <v>0</v>
      </c>
      <c r="K49">
        <v>0</v>
      </c>
    </row>
    <row r="50" spans="1:11" x14ac:dyDescent="0.35">
      <c r="A50">
        <v>544</v>
      </c>
      <c r="B50" t="str">
        <v>No</v>
      </c>
      <c r="C50" t="str">
        <v>No</v>
      </c>
      <c r="D50" t="str">
        <v>No</v>
      </c>
      <c r="E50" t="str">
        <v>No</v>
      </c>
      <c r="F50">
        <v>0</v>
      </c>
      <c r="G50" t="str">
        <v>HR</v>
      </c>
      <c r="H50">
        <v>0</v>
      </c>
      <c r="I50">
        <v>0</v>
      </c>
      <c r="J50">
        <v>0</v>
      </c>
      <c r="K50">
        <v>0</v>
      </c>
    </row>
    <row r="51" spans="1:11" x14ac:dyDescent="0.35">
      <c r="A51">
        <v>545</v>
      </c>
      <c r="B51" t="str">
        <v>No</v>
      </c>
      <c r="C51" t="str">
        <v>No</v>
      </c>
      <c r="D51" t="str">
        <v>No</v>
      </c>
      <c r="E51" t="str">
        <v>No</v>
      </c>
      <c r="F51">
        <v>0</v>
      </c>
      <c r="G51" t="str">
        <v>HR</v>
      </c>
      <c r="H51">
        <v>0</v>
      </c>
      <c r="I51">
        <v>0</v>
      </c>
      <c r="J51">
        <v>0</v>
      </c>
      <c r="K51">
        <v>0</v>
      </c>
    </row>
    <row r="52" spans="1:11" x14ac:dyDescent="0.35">
      <c r="A52">
        <v>556</v>
      </c>
      <c r="B52" t="str">
        <v>No</v>
      </c>
      <c r="C52" t="str">
        <v>No</v>
      </c>
      <c r="D52" t="str">
        <v>No</v>
      </c>
      <c r="E52" t="str">
        <v>No</v>
      </c>
      <c r="F52">
        <v>0</v>
      </c>
      <c r="G52" t="str">
        <v>HR</v>
      </c>
      <c r="H52">
        <v>0</v>
      </c>
      <c r="I52">
        <v>0</v>
      </c>
      <c r="J52">
        <v>0</v>
      </c>
      <c r="K52">
        <v>0</v>
      </c>
    </row>
    <row r="53" spans="1:11" x14ac:dyDescent="0.35">
      <c r="A53">
        <v>557</v>
      </c>
      <c r="B53" t="str">
        <v>No</v>
      </c>
      <c r="C53" t="str">
        <v>No</v>
      </c>
      <c r="D53" t="str">
        <v>No</v>
      </c>
      <c r="E53" t="str">
        <v>No</v>
      </c>
      <c r="F53">
        <v>0</v>
      </c>
      <c r="G53" t="str">
        <v>HR</v>
      </c>
      <c r="H53">
        <v>0</v>
      </c>
      <c r="I53">
        <v>0</v>
      </c>
      <c r="J53">
        <v>0</v>
      </c>
      <c r="K53">
        <v>0</v>
      </c>
    </row>
    <row r="54" spans="1:11" x14ac:dyDescent="0.35">
      <c r="A54">
        <v>559</v>
      </c>
      <c r="B54" t="str">
        <v>No</v>
      </c>
      <c r="C54" t="str">
        <v>No</v>
      </c>
      <c r="D54" t="str">
        <v>No</v>
      </c>
      <c r="E54" t="str">
        <v>No</v>
      </c>
      <c r="F54">
        <v>0</v>
      </c>
      <c r="G54" t="str">
        <v>HR</v>
      </c>
      <c r="H54">
        <v>0</v>
      </c>
      <c r="I54">
        <v>0</v>
      </c>
      <c r="J54">
        <v>0</v>
      </c>
      <c r="K54">
        <v>0</v>
      </c>
    </row>
    <row r="55" spans="1:11" x14ac:dyDescent="0.35">
      <c r="A55">
        <v>560</v>
      </c>
      <c r="B55" t="str">
        <v>No</v>
      </c>
      <c r="C55" t="str">
        <v>No</v>
      </c>
      <c r="D55" t="str">
        <v>No</v>
      </c>
      <c r="E55" t="str">
        <v>No</v>
      </c>
      <c r="F55">
        <v>0</v>
      </c>
      <c r="G55" t="str">
        <v>HR</v>
      </c>
      <c r="H55">
        <v>0</v>
      </c>
      <c r="I55">
        <v>0</v>
      </c>
      <c r="J55">
        <v>0</v>
      </c>
      <c r="K55">
        <v>0</v>
      </c>
    </row>
    <row r="56" spans="1:11" x14ac:dyDescent="0.35">
      <c r="A56">
        <v>562</v>
      </c>
      <c r="B56" t="str">
        <v>No</v>
      </c>
      <c r="C56" t="str">
        <v>No</v>
      </c>
      <c r="D56" t="str">
        <v>No</v>
      </c>
      <c r="E56" t="str">
        <v>No</v>
      </c>
      <c r="F56">
        <v>0</v>
      </c>
      <c r="G56" t="str">
        <v>HR</v>
      </c>
      <c r="H56">
        <v>0</v>
      </c>
      <c r="I56">
        <v>0</v>
      </c>
      <c r="J56">
        <v>0</v>
      </c>
      <c r="K56">
        <v>0</v>
      </c>
    </row>
    <row r="57" spans="1:11" x14ac:dyDescent="0.35">
      <c r="A57">
        <v>563</v>
      </c>
      <c r="B57" t="str">
        <v>No</v>
      </c>
      <c r="C57" t="str">
        <v>No</v>
      </c>
      <c r="D57" t="str">
        <v>No</v>
      </c>
      <c r="E57" t="str">
        <v>No</v>
      </c>
      <c r="F57">
        <v>0</v>
      </c>
      <c r="G57" t="str">
        <v>HR</v>
      </c>
      <c r="H57">
        <v>0</v>
      </c>
      <c r="I57">
        <v>0</v>
      </c>
      <c r="J57">
        <v>0</v>
      </c>
      <c r="K57">
        <v>0</v>
      </c>
    </row>
    <row r="58" spans="1:11" x14ac:dyDescent="0.35">
      <c r="A58">
        <v>564</v>
      </c>
      <c r="B58" t="str">
        <v>No</v>
      </c>
      <c r="C58" t="str">
        <v>No</v>
      </c>
      <c r="D58" t="str">
        <v>No</v>
      </c>
      <c r="E58" t="str">
        <v>No</v>
      </c>
      <c r="F58">
        <v>0</v>
      </c>
      <c r="G58" t="str">
        <v>HR</v>
      </c>
      <c r="H58">
        <v>0</v>
      </c>
      <c r="I58">
        <v>0</v>
      </c>
      <c r="J58">
        <v>0</v>
      </c>
      <c r="K58">
        <v>0</v>
      </c>
    </row>
    <row r="59" spans="1:11" x14ac:dyDescent="0.35">
      <c r="A59">
        <v>579</v>
      </c>
      <c r="B59" t="str">
        <v>No</v>
      </c>
      <c r="C59" t="str">
        <v>No</v>
      </c>
      <c r="D59" t="str">
        <v>No</v>
      </c>
      <c r="E59" t="str">
        <v>No</v>
      </c>
      <c r="F59">
        <v>0</v>
      </c>
      <c r="G59" t="str">
        <v>HR</v>
      </c>
      <c r="H59">
        <v>0</v>
      </c>
      <c r="I59">
        <v>0</v>
      </c>
      <c r="J59">
        <v>0</v>
      </c>
      <c r="K59">
        <v>0</v>
      </c>
    </row>
    <row r="60" spans="1:11" x14ac:dyDescent="0.35">
      <c r="A60">
        <v>582</v>
      </c>
      <c r="B60" t="str">
        <v>No</v>
      </c>
      <c r="C60" t="str">
        <v>No</v>
      </c>
      <c r="D60" t="str">
        <v>No</v>
      </c>
      <c r="E60" t="str">
        <v>No</v>
      </c>
      <c r="F60">
        <v>0</v>
      </c>
      <c r="G60" t="str">
        <v>HR</v>
      </c>
      <c r="H60">
        <v>0</v>
      </c>
      <c r="I60">
        <v>0</v>
      </c>
      <c r="J60">
        <v>0</v>
      </c>
      <c r="K60">
        <v>0</v>
      </c>
    </row>
    <row r="61" spans="1:11" x14ac:dyDescent="0.35">
      <c r="A61">
        <v>583</v>
      </c>
      <c r="B61" t="str">
        <v>No</v>
      </c>
      <c r="C61" t="str">
        <v>No</v>
      </c>
      <c r="D61" t="str">
        <v>No</v>
      </c>
      <c r="E61" t="str">
        <v>No</v>
      </c>
      <c r="F61">
        <v>0</v>
      </c>
      <c r="G61" t="str">
        <v>HR</v>
      </c>
      <c r="H61">
        <v>0</v>
      </c>
      <c r="I61">
        <v>0</v>
      </c>
      <c r="J61">
        <v>0</v>
      </c>
      <c r="K61">
        <v>0</v>
      </c>
    </row>
    <row r="62" spans="1:11" x14ac:dyDescent="0.35">
      <c r="A62">
        <v>588</v>
      </c>
      <c r="B62" t="str">
        <v>No</v>
      </c>
      <c r="C62" t="str">
        <v>No</v>
      </c>
      <c r="D62" t="str">
        <v>No</v>
      </c>
      <c r="E62" t="str">
        <v>No</v>
      </c>
      <c r="F62">
        <v>0</v>
      </c>
      <c r="G62" t="str">
        <v>HR</v>
      </c>
      <c r="H62">
        <v>0</v>
      </c>
      <c r="I62">
        <v>0</v>
      </c>
      <c r="J62">
        <v>0</v>
      </c>
      <c r="K62">
        <v>0</v>
      </c>
    </row>
    <row r="63" spans="1:11" x14ac:dyDescent="0.35">
      <c r="A63">
        <v>589</v>
      </c>
      <c r="B63" t="str">
        <v>No</v>
      </c>
      <c r="C63" t="str">
        <v>No</v>
      </c>
      <c r="D63" t="str">
        <v>No</v>
      </c>
      <c r="E63" t="str">
        <v>No</v>
      </c>
      <c r="F63">
        <v>0</v>
      </c>
      <c r="G63" t="str">
        <v>HR</v>
      </c>
      <c r="H63">
        <v>0</v>
      </c>
      <c r="I63">
        <v>0</v>
      </c>
      <c r="J63">
        <v>0</v>
      </c>
      <c r="K63">
        <v>0</v>
      </c>
    </row>
    <row r="64" spans="1:11" x14ac:dyDescent="0.35">
      <c r="A64">
        <v>590</v>
      </c>
      <c r="B64" t="str">
        <v>No</v>
      </c>
      <c r="C64" t="str">
        <v>No</v>
      </c>
      <c r="D64" t="str">
        <v>No</v>
      </c>
      <c r="E64" t="str">
        <v>No</v>
      </c>
      <c r="F64">
        <v>0</v>
      </c>
      <c r="G64" t="str">
        <v>HR</v>
      </c>
      <c r="H64">
        <v>0</v>
      </c>
      <c r="I64">
        <v>0</v>
      </c>
      <c r="J64">
        <v>0</v>
      </c>
      <c r="K64">
        <v>0</v>
      </c>
    </row>
    <row r="65" spans="1:11" x14ac:dyDescent="0.35">
      <c r="A65">
        <v>591</v>
      </c>
      <c r="B65" t="str">
        <v>No</v>
      </c>
      <c r="C65" t="str">
        <v>No</v>
      </c>
      <c r="D65" t="str">
        <v>No</v>
      </c>
      <c r="E65" t="str">
        <v>No</v>
      </c>
      <c r="F65">
        <v>0</v>
      </c>
      <c r="G65" t="str">
        <v>HR</v>
      </c>
      <c r="H65">
        <v>0</v>
      </c>
      <c r="I65">
        <v>0</v>
      </c>
      <c r="J65">
        <v>0</v>
      </c>
      <c r="K65">
        <v>0</v>
      </c>
    </row>
    <row r="66" spans="1:11" x14ac:dyDescent="0.35">
      <c r="A66">
        <v>593</v>
      </c>
      <c r="B66" t="str">
        <v>No</v>
      </c>
      <c r="C66" t="str">
        <v>No</v>
      </c>
      <c r="D66" t="str">
        <v>No</v>
      </c>
      <c r="E66" t="str">
        <v>No</v>
      </c>
      <c r="F66">
        <v>0</v>
      </c>
      <c r="G66" t="str">
        <v>HR</v>
      </c>
      <c r="H66">
        <v>0</v>
      </c>
      <c r="I66">
        <v>0</v>
      </c>
      <c r="J66">
        <v>0</v>
      </c>
      <c r="K66">
        <v>0</v>
      </c>
    </row>
    <row r="67" spans="1:11" x14ac:dyDescent="0.35">
      <c r="A67">
        <v>594</v>
      </c>
      <c r="B67" t="str">
        <v>No</v>
      </c>
      <c r="C67" t="str">
        <v>No</v>
      </c>
      <c r="D67" t="str">
        <v>No</v>
      </c>
      <c r="E67" t="str">
        <v>No</v>
      </c>
      <c r="F67">
        <v>0</v>
      </c>
      <c r="G67" t="str">
        <v>HR</v>
      </c>
      <c r="H67">
        <v>0</v>
      </c>
      <c r="I67">
        <v>0</v>
      </c>
      <c r="J67">
        <v>0</v>
      </c>
      <c r="K67">
        <v>0</v>
      </c>
    </row>
    <row r="68" spans="1:11" x14ac:dyDescent="0.35">
      <c r="A68">
        <v>595</v>
      </c>
      <c r="B68" t="str">
        <v>No</v>
      </c>
      <c r="C68" t="str">
        <v>No</v>
      </c>
      <c r="D68" t="str">
        <v>No</v>
      </c>
      <c r="E68" t="str">
        <v>No</v>
      </c>
      <c r="F68">
        <v>0</v>
      </c>
      <c r="G68" t="str">
        <v>HR</v>
      </c>
      <c r="H68">
        <v>0</v>
      </c>
      <c r="I68">
        <v>0</v>
      </c>
      <c r="J68">
        <v>0</v>
      </c>
      <c r="K68">
        <v>0</v>
      </c>
    </row>
    <row r="69" spans="1:11" x14ac:dyDescent="0.35">
      <c r="A69">
        <v>600</v>
      </c>
      <c r="B69" t="str">
        <v>No</v>
      </c>
      <c r="C69" t="str">
        <v>No</v>
      </c>
      <c r="D69" t="str">
        <v>No</v>
      </c>
      <c r="E69" t="str">
        <v>No</v>
      </c>
      <c r="F69">
        <v>0</v>
      </c>
      <c r="G69" t="str">
        <v>HR</v>
      </c>
      <c r="H69">
        <v>0</v>
      </c>
      <c r="I69">
        <v>0</v>
      </c>
      <c r="J69">
        <v>0</v>
      </c>
      <c r="K69">
        <v>0</v>
      </c>
    </row>
    <row r="70" spans="1:11" x14ac:dyDescent="0.35">
      <c r="A70">
        <v>614</v>
      </c>
      <c r="B70" t="str">
        <v>No</v>
      </c>
      <c r="C70" t="str">
        <v>No</v>
      </c>
      <c r="D70" t="str">
        <v>No</v>
      </c>
      <c r="E70" t="str">
        <v>No</v>
      </c>
      <c r="F70">
        <v>0</v>
      </c>
      <c r="G70" t="str">
        <v>HR</v>
      </c>
      <c r="H70">
        <v>0</v>
      </c>
      <c r="I70">
        <v>0</v>
      </c>
      <c r="J70">
        <v>0</v>
      </c>
      <c r="K70">
        <v>0</v>
      </c>
    </row>
    <row r="71" spans="1:11" x14ac:dyDescent="0.35">
      <c r="A71">
        <v>632</v>
      </c>
      <c r="B71" t="str">
        <v>No</v>
      </c>
      <c r="C71" t="str">
        <v>No</v>
      </c>
      <c r="D71" t="str">
        <v>No</v>
      </c>
      <c r="E71" t="str">
        <v>No</v>
      </c>
      <c r="F71">
        <v>0</v>
      </c>
      <c r="G71" t="str">
        <v>HR</v>
      </c>
      <c r="H71">
        <v>0</v>
      </c>
      <c r="I71">
        <v>0</v>
      </c>
      <c r="J71">
        <v>0</v>
      </c>
      <c r="K71" t="str">
        <v>Mealy bug coverage</v>
      </c>
    </row>
    <row r="72" spans="1:11" x14ac:dyDescent="0.35">
      <c r="A72">
        <v>640</v>
      </c>
      <c r="B72" t="str">
        <v>No</v>
      </c>
      <c r="C72" t="str">
        <v>No</v>
      </c>
      <c r="D72" t="str">
        <v>No</v>
      </c>
      <c r="E72" t="str">
        <v>No</v>
      </c>
      <c r="F72">
        <v>0</v>
      </c>
      <c r="G72" t="str">
        <v>HR</v>
      </c>
      <c r="H72">
        <v>0</v>
      </c>
      <c r="I72">
        <v>0</v>
      </c>
      <c r="J72">
        <v>0</v>
      </c>
      <c r="K72">
        <v>0</v>
      </c>
    </row>
    <row r="73" spans="1:11" x14ac:dyDescent="0.35">
      <c r="A73">
        <v>671</v>
      </c>
      <c r="B73" t="str">
        <v>No</v>
      </c>
      <c r="C73" t="str">
        <v>No</v>
      </c>
      <c r="D73" t="str">
        <v>No</v>
      </c>
      <c r="E73" t="str">
        <v>No</v>
      </c>
      <c r="F73">
        <v>0</v>
      </c>
      <c r="G73" t="str">
        <v>HR</v>
      </c>
      <c r="H73">
        <v>0</v>
      </c>
      <c r="I73">
        <v>0</v>
      </c>
      <c r="J73">
        <v>0</v>
      </c>
      <c r="K73">
        <v>0</v>
      </c>
    </row>
    <row r="74" spans="1:11" x14ac:dyDescent="0.35">
      <c r="A74">
        <v>686</v>
      </c>
      <c r="B74" t="str">
        <v>No</v>
      </c>
      <c r="C74" t="str">
        <v>No</v>
      </c>
      <c r="D74" t="str">
        <v>No</v>
      </c>
      <c r="E74" t="str">
        <v>No</v>
      </c>
      <c r="F74">
        <v>0</v>
      </c>
      <c r="G74" t="str">
        <v>HR</v>
      </c>
      <c r="H74">
        <v>0</v>
      </c>
      <c r="I74">
        <v>0</v>
      </c>
      <c r="J74">
        <v>0</v>
      </c>
      <c r="K74">
        <v>0</v>
      </c>
    </row>
    <row r="75" spans="1:11" x14ac:dyDescent="0.35">
      <c r="A75">
        <v>687</v>
      </c>
      <c r="B75" t="str">
        <v>No</v>
      </c>
      <c r="C75" t="str">
        <v>No</v>
      </c>
      <c r="D75" t="str">
        <v>No</v>
      </c>
      <c r="E75" t="str">
        <v>No</v>
      </c>
      <c r="F75">
        <v>0</v>
      </c>
      <c r="G75" t="str">
        <v>HR</v>
      </c>
      <c r="H75">
        <v>0</v>
      </c>
      <c r="I75">
        <v>0</v>
      </c>
      <c r="J75">
        <v>0</v>
      </c>
      <c r="K75">
        <v>0</v>
      </c>
    </row>
    <row r="76" spans="1:11" x14ac:dyDescent="0.35">
      <c r="A76">
        <v>691</v>
      </c>
      <c r="B76" t="str">
        <v>No</v>
      </c>
      <c r="C76" t="str">
        <v>No</v>
      </c>
      <c r="D76" t="str">
        <v>No</v>
      </c>
      <c r="E76" t="str">
        <v>No</v>
      </c>
      <c r="F76">
        <v>0</v>
      </c>
      <c r="G76" t="str">
        <v>HR</v>
      </c>
      <c r="H76">
        <v>0</v>
      </c>
      <c r="I76">
        <v>0</v>
      </c>
      <c r="J76">
        <v>0</v>
      </c>
      <c r="K76">
        <v>0</v>
      </c>
    </row>
    <row r="77" spans="1:11" x14ac:dyDescent="0.35">
      <c r="A77">
        <v>692</v>
      </c>
      <c r="B77" t="str">
        <v>No</v>
      </c>
      <c r="C77" t="str">
        <v>No</v>
      </c>
      <c r="D77" t="str">
        <v>No</v>
      </c>
      <c r="E77" t="str">
        <v>No</v>
      </c>
      <c r="F77">
        <v>0</v>
      </c>
      <c r="G77" t="str">
        <v>HR</v>
      </c>
      <c r="H77">
        <v>0</v>
      </c>
      <c r="I77">
        <v>0</v>
      </c>
      <c r="J77">
        <v>0</v>
      </c>
      <c r="K77">
        <v>0</v>
      </c>
    </row>
    <row r="78" spans="1:11" x14ac:dyDescent="0.35">
      <c r="A78">
        <v>693</v>
      </c>
      <c r="B78" t="str">
        <v>No</v>
      </c>
      <c r="C78" t="str">
        <v>No</v>
      </c>
      <c r="D78" t="str">
        <v>No</v>
      </c>
      <c r="E78" t="str">
        <v>No</v>
      </c>
      <c r="F78">
        <v>0</v>
      </c>
      <c r="G78" t="str">
        <v>HR</v>
      </c>
      <c r="H78">
        <v>0</v>
      </c>
      <c r="I78">
        <v>0</v>
      </c>
      <c r="J78">
        <v>0</v>
      </c>
      <c r="K78">
        <v>0</v>
      </c>
    </row>
    <row r="79" spans="1:11" x14ac:dyDescent="0.35">
      <c r="A79">
        <v>694</v>
      </c>
      <c r="B79" t="str">
        <v>No</v>
      </c>
      <c r="C79" t="str">
        <v>No</v>
      </c>
      <c r="D79" t="str">
        <v>No</v>
      </c>
      <c r="E79" t="str">
        <v>No</v>
      </c>
      <c r="F79">
        <v>0</v>
      </c>
      <c r="G79" t="str">
        <v>HR</v>
      </c>
      <c r="H79">
        <v>0</v>
      </c>
      <c r="I79">
        <v>0</v>
      </c>
      <c r="J79">
        <v>0</v>
      </c>
      <c r="K79">
        <v>0</v>
      </c>
    </row>
    <row r="80" spans="1:11" x14ac:dyDescent="0.35">
      <c r="A80">
        <v>706</v>
      </c>
      <c r="B80" t="str">
        <v>No</v>
      </c>
      <c r="C80" t="str">
        <v>No</v>
      </c>
      <c r="D80" t="str">
        <v>No</v>
      </c>
      <c r="E80" t="str">
        <v>No</v>
      </c>
      <c r="F80">
        <v>0</v>
      </c>
      <c r="G80" t="str">
        <v>HR</v>
      </c>
      <c r="H80">
        <v>0</v>
      </c>
      <c r="I80">
        <v>0</v>
      </c>
      <c r="J80">
        <v>0</v>
      </c>
      <c r="K80" t="str">
        <v>Unhealthy, heavy mealy bug presence</v>
      </c>
    </row>
    <row r="81" spans="1:11" x14ac:dyDescent="0.35">
      <c r="A81">
        <v>708</v>
      </c>
      <c r="B81" t="str">
        <v>No</v>
      </c>
      <c r="C81" t="str">
        <v>No</v>
      </c>
      <c r="D81" t="str">
        <v>No</v>
      </c>
      <c r="E81" t="str">
        <v>No</v>
      </c>
      <c r="F81">
        <v>0</v>
      </c>
      <c r="G81" t="str">
        <v>HR</v>
      </c>
      <c r="H81">
        <v>0</v>
      </c>
      <c r="I81">
        <v>0</v>
      </c>
      <c r="J81">
        <v>0</v>
      </c>
      <c r="K81">
        <v>0</v>
      </c>
    </row>
    <row r="82" spans="1:11" x14ac:dyDescent="0.35">
      <c r="A82">
        <v>709</v>
      </c>
      <c r="B82" t="str">
        <v>No</v>
      </c>
      <c r="C82" t="str">
        <v>No</v>
      </c>
      <c r="D82" t="str">
        <v>No</v>
      </c>
      <c r="E82" t="str">
        <v>No</v>
      </c>
      <c r="F82">
        <v>0</v>
      </c>
      <c r="G82" t="str">
        <v>HR</v>
      </c>
      <c r="H82">
        <v>0</v>
      </c>
      <c r="I82">
        <v>0</v>
      </c>
      <c r="J82">
        <v>0</v>
      </c>
      <c r="K82">
        <v>0</v>
      </c>
    </row>
    <row r="83" spans="1:11" x14ac:dyDescent="0.35">
      <c r="A83">
        <v>710</v>
      </c>
      <c r="B83" t="str">
        <v>No</v>
      </c>
      <c r="C83" t="str">
        <v>No</v>
      </c>
      <c r="D83" t="str">
        <v>No</v>
      </c>
      <c r="E83" t="str">
        <v>No</v>
      </c>
      <c r="F83">
        <v>0</v>
      </c>
      <c r="G83" t="str">
        <v>HR</v>
      </c>
      <c r="H83">
        <v>0</v>
      </c>
      <c r="I83">
        <v>0</v>
      </c>
      <c r="J83">
        <v>0</v>
      </c>
      <c r="K83">
        <v>0</v>
      </c>
    </row>
    <row r="84" spans="1:11" x14ac:dyDescent="0.35">
      <c r="A84">
        <v>712</v>
      </c>
      <c r="B84" t="str">
        <v>No</v>
      </c>
      <c r="C84" t="str">
        <v>No</v>
      </c>
      <c r="D84" t="str">
        <v>No</v>
      </c>
      <c r="E84" t="str">
        <v>No</v>
      </c>
      <c r="F84">
        <v>0</v>
      </c>
      <c r="G84" t="str">
        <v>HR</v>
      </c>
      <c r="H84">
        <v>0</v>
      </c>
      <c r="I84">
        <v>0</v>
      </c>
      <c r="J84">
        <v>0</v>
      </c>
      <c r="K84">
        <v>0</v>
      </c>
    </row>
    <row r="85" spans="1:11" x14ac:dyDescent="0.35">
      <c r="A85">
        <v>714</v>
      </c>
      <c r="B85" t="str">
        <v>No</v>
      </c>
      <c r="C85" t="str">
        <v>No</v>
      </c>
      <c r="D85" t="str">
        <v>No</v>
      </c>
      <c r="E85" t="str">
        <v>No</v>
      </c>
      <c r="F85">
        <v>0</v>
      </c>
      <c r="G85" t="str">
        <v>HR</v>
      </c>
      <c r="H85">
        <v>0</v>
      </c>
      <c r="I85">
        <v>0</v>
      </c>
      <c r="J85">
        <v>0</v>
      </c>
      <c r="K85">
        <v>0</v>
      </c>
    </row>
    <row r="86" spans="1:11" x14ac:dyDescent="0.35">
      <c r="A86">
        <v>715</v>
      </c>
      <c r="B86" t="str">
        <v>No</v>
      </c>
      <c r="C86" t="str">
        <v>No</v>
      </c>
      <c r="D86" t="str">
        <v>No</v>
      </c>
      <c r="E86" t="str">
        <v>No</v>
      </c>
      <c r="F86">
        <v>0</v>
      </c>
      <c r="G86" t="str">
        <v>HR</v>
      </c>
      <c r="H86">
        <v>0</v>
      </c>
      <c r="I86">
        <v>0</v>
      </c>
      <c r="J86">
        <v>0</v>
      </c>
      <c r="K86">
        <v>0</v>
      </c>
    </row>
    <row r="87" spans="1:11" x14ac:dyDescent="0.35">
      <c r="A87">
        <v>726</v>
      </c>
      <c r="B87" t="str">
        <v>No</v>
      </c>
      <c r="C87" t="str">
        <v>No</v>
      </c>
      <c r="D87" t="str">
        <v>No</v>
      </c>
      <c r="E87" t="str">
        <v>No</v>
      </c>
      <c r="F87">
        <v>0</v>
      </c>
      <c r="G87" t="str">
        <v>HR</v>
      </c>
      <c r="H87">
        <v>0</v>
      </c>
      <c r="I87">
        <v>0</v>
      </c>
      <c r="J87">
        <v>0</v>
      </c>
      <c r="K87">
        <v>0</v>
      </c>
    </row>
    <row r="88" spans="1:11" x14ac:dyDescent="0.35">
      <c r="A88">
        <v>727</v>
      </c>
      <c r="B88" t="str">
        <v>No</v>
      </c>
      <c r="C88" t="str">
        <v>No</v>
      </c>
      <c r="D88" t="str">
        <v>No</v>
      </c>
      <c r="E88" t="str">
        <v>No</v>
      </c>
      <c r="F88">
        <v>0</v>
      </c>
      <c r="G88" t="str">
        <v>HR</v>
      </c>
      <c r="H88">
        <v>0</v>
      </c>
      <c r="I88">
        <v>0</v>
      </c>
      <c r="J88">
        <v>0</v>
      </c>
      <c r="K88">
        <v>0</v>
      </c>
    </row>
    <row r="89" spans="1:11" x14ac:dyDescent="0.35">
      <c r="A89">
        <v>730</v>
      </c>
      <c r="B89" t="str">
        <v>No</v>
      </c>
      <c r="C89" t="str">
        <v>No</v>
      </c>
      <c r="D89" t="str">
        <v>No</v>
      </c>
      <c r="E89" t="str">
        <v>No</v>
      </c>
      <c r="F89">
        <v>0</v>
      </c>
      <c r="G89" t="str">
        <v>HR</v>
      </c>
      <c r="H89">
        <v>0</v>
      </c>
      <c r="I89">
        <v>0</v>
      </c>
      <c r="J89">
        <v>0</v>
      </c>
      <c r="K89">
        <v>0</v>
      </c>
    </row>
    <row r="90" spans="1:11" x14ac:dyDescent="0.35">
      <c r="A90">
        <v>731</v>
      </c>
      <c r="B90" t="str">
        <v>No</v>
      </c>
      <c r="C90" t="str">
        <v>No</v>
      </c>
      <c r="D90" t="str">
        <v>No</v>
      </c>
      <c r="E90" t="str">
        <v>No</v>
      </c>
      <c r="F90">
        <v>0</v>
      </c>
      <c r="G90" t="str">
        <v>HR</v>
      </c>
      <c r="H90">
        <v>0</v>
      </c>
      <c r="I90">
        <v>0</v>
      </c>
      <c r="J90">
        <v>0</v>
      </c>
      <c r="K90">
        <v>0</v>
      </c>
    </row>
    <row r="91" spans="1:11" x14ac:dyDescent="0.35">
      <c r="A91">
        <v>733</v>
      </c>
      <c r="B91" t="str">
        <v>No</v>
      </c>
      <c r="C91" t="str">
        <v>No</v>
      </c>
      <c r="D91" t="str">
        <v>No</v>
      </c>
      <c r="E91" t="str">
        <v>No</v>
      </c>
      <c r="F91">
        <v>0</v>
      </c>
      <c r="G91" t="str">
        <v>HR</v>
      </c>
      <c r="H91">
        <v>0</v>
      </c>
      <c r="I91">
        <v>0</v>
      </c>
      <c r="J91">
        <v>0</v>
      </c>
      <c r="K91">
        <v>0</v>
      </c>
    </row>
    <row r="92" spans="1:11" x14ac:dyDescent="0.35">
      <c r="A92">
        <v>736</v>
      </c>
      <c r="B92" t="str">
        <v>No</v>
      </c>
      <c r="C92" t="str">
        <v>No</v>
      </c>
      <c r="D92" t="str">
        <v>No</v>
      </c>
      <c r="E92" t="str">
        <v>No</v>
      </c>
      <c r="F92">
        <v>0</v>
      </c>
      <c r="G92" t="str">
        <v>HR</v>
      </c>
      <c r="H92">
        <v>0</v>
      </c>
      <c r="I92">
        <v>0</v>
      </c>
      <c r="J92">
        <v>0</v>
      </c>
      <c r="K92">
        <v>0</v>
      </c>
    </row>
    <row r="93" spans="1:11" x14ac:dyDescent="0.35">
      <c r="A93">
        <v>738</v>
      </c>
      <c r="B93" t="str">
        <v>No</v>
      </c>
      <c r="C93" t="str">
        <v>No</v>
      </c>
      <c r="D93" t="str">
        <v>No</v>
      </c>
      <c r="E93" t="str">
        <v>No</v>
      </c>
      <c r="F93">
        <v>0</v>
      </c>
      <c r="G93" t="str">
        <v>HR</v>
      </c>
      <c r="H93">
        <v>0</v>
      </c>
      <c r="I93">
        <v>0</v>
      </c>
      <c r="J93">
        <v>0</v>
      </c>
      <c r="K93">
        <v>0</v>
      </c>
    </row>
    <row r="94" spans="1:11" x14ac:dyDescent="0.35">
      <c r="A94">
        <v>745</v>
      </c>
      <c r="B94" t="str">
        <v>No</v>
      </c>
      <c r="C94" t="str">
        <v>No</v>
      </c>
      <c r="D94" t="str">
        <v>No</v>
      </c>
      <c r="E94" t="str">
        <v>No</v>
      </c>
      <c r="F94">
        <v>0</v>
      </c>
      <c r="G94" t="str">
        <v>HR</v>
      </c>
      <c r="H94">
        <v>0</v>
      </c>
      <c r="I94">
        <v>0</v>
      </c>
      <c r="J94">
        <v>0</v>
      </c>
      <c r="K94">
        <v>0</v>
      </c>
    </row>
    <row r="95" spans="1:11" x14ac:dyDescent="0.35">
      <c r="A95">
        <v>86</v>
      </c>
      <c r="B95" t="str">
        <v>No</v>
      </c>
      <c r="C95" t="str">
        <v>No</v>
      </c>
      <c r="D95" t="str">
        <v>No</v>
      </c>
      <c r="E95" t="str">
        <v>No</v>
      </c>
      <c r="F95">
        <v>0</v>
      </c>
      <c r="G95" t="str">
        <v>HR</v>
      </c>
      <c r="H95">
        <v>0</v>
      </c>
      <c r="I95">
        <v>0</v>
      </c>
      <c r="J95">
        <v>0</v>
      </c>
      <c r="K95">
        <v>0</v>
      </c>
    </row>
    <row r="96" spans="1:11" x14ac:dyDescent="0.35">
      <c r="A96">
        <v>88</v>
      </c>
      <c r="B96" t="str">
        <v>No</v>
      </c>
      <c r="C96" t="str">
        <v>No</v>
      </c>
      <c r="D96" t="str">
        <v>No</v>
      </c>
      <c r="E96" t="str">
        <v>No</v>
      </c>
      <c r="F96">
        <v>0</v>
      </c>
      <c r="G96" t="str">
        <v>HR</v>
      </c>
      <c r="H96">
        <v>0</v>
      </c>
      <c r="I96">
        <v>0</v>
      </c>
      <c r="J96">
        <v>0</v>
      </c>
      <c r="K96">
        <v>0</v>
      </c>
    </row>
    <row r="97" spans="1:11" x14ac:dyDescent="0.35">
      <c r="A97">
        <v>431</v>
      </c>
      <c r="B97" t="str">
        <v>Yes</v>
      </c>
      <c r="C97" t="str">
        <v>Yes</v>
      </c>
      <c r="D97" t="str">
        <v>Yes</v>
      </c>
      <c r="E97" t="str">
        <v>No</v>
      </c>
      <c r="F97">
        <v>0</v>
      </c>
      <c r="G97" t="str">
        <v>HR</v>
      </c>
      <c r="H97">
        <v>0</v>
      </c>
      <c r="I97">
        <v>0</v>
      </c>
      <c r="J97">
        <v>0</v>
      </c>
      <c r="K97">
        <v>0</v>
      </c>
    </row>
    <row r="98" spans="1:11" x14ac:dyDescent="0.35">
      <c r="A98">
        <v>66</v>
      </c>
      <c r="B98" t="str">
        <v>No</v>
      </c>
      <c r="C98" t="str">
        <v>No</v>
      </c>
      <c r="D98" t="str">
        <v>No</v>
      </c>
      <c r="E98" t="str">
        <v>No</v>
      </c>
      <c r="F98">
        <v>0</v>
      </c>
      <c r="G98" t="str">
        <v>HR</v>
      </c>
      <c r="H98">
        <v>0</v>
      </c>
      <c r="I98">
        <v>0</v>
      </c>
      <c r="J98">
        <v>0</v>
      </c>
      <c r="K98">
        <v>0</v>
      </c>
    </row>
    <row r="99" spans="1:11" x14ac:dyDescent="0.35">
      <c r="A99">
        <v>67</v>
      </c>
      <c r="B99" t="str">
        <v>No</v>
      </c>
      <c r="C99" t="str">
        <v>No</v>
      </c>
      <c r="D99" t="str">
        <v>No</v>
      </c>
      <c r="E99" t="str">
        <v>No</v>
      </c>
      <c r="F99">
        <v>0</v>
      </c>
      <c r="G99" t="str">
        <v>HR</v>
      </c>
      <c r="H99">
        <v>0</v>
      </c>
      <c r="I99">
        <v>0</v>
      </c>
      <c r="J99">
        <v>0</v>
      </c>
      <c r="K99">
        <v>0</v>
      </c>
    </row>
    <row r="100" spans="1:11" x14ac:dyDescent="0.35">
      <c r="A100">
        <v>73</v>
      </c>
      <c r="B100" t="str">
        <v>No</v>
      </c>
      <c r="C100" t="str">
        <v>No</v>
      </c>
      <c r="D100" t="str">
        <v>No</v>
      </c>
      <c r="E100" t="str">
        <v>No</v>
      </c>
      <c r="F100">
        <v>0</v>
      </c>
      <c r="G100" t="str">
        <v>HR</v>
      </c>
      <c r="H100">
        <v>0</v>
      </c>
      <c r="I100">
        <v>0</v>
      </c>
      <c r="J100">
        <v>0</v>
      </c>
      <c r="K100">
        <v>0</v>
      </c>
    </row>
    <row r="101" spans="1:11" x14ac:dyDescent="0.35">
      <c r="A101">
        <v>658</v>
      </c>
      <c r="B101" t="str">
        <v>Yes</v>
      </c>
      <c r="C101" t="str">
        <v>No</v>
      </c>
      <c r="D101" t="str">
        <v>No</v>
      </c>
      <c r="E101" t="str">
        <v>Mix</v>
      </c>
      <c r="F101">
        <v>15</v>
      </c>
      <c r="G101" t="str">
        <v>HS</v>
      </c>
      <c r="H101">
        <v>15</v>
      </c>
      <c r="I101">
        <v>1</v>
      </c>
      <c r="J101">
        <v>1</v>
      </c>
      <c r="K101" t="str">
        <v>Limited IR on colonies of new leaf</v>
      </c>
    </row>
    <row r="102" spans="1:11" x14ac:dyDescent="0.35">
      <c r="A102">
        <v>74</v>
      </c>
      <c r="B102" t="str">
        <v>No</v>
      </c>
      <c r="C102" t="str">
        <v>No</v>
      </c>
      <c r="D102" t="str">
        <v>No</v>
      </c>
      <c r="E102" t="str">
        <v>Restricted</v>
      </c>
      <c r="F102">
        <v>5</v>
      </c>
      <c r="G102" t="str">
        <v>HS</v>
      </c>
      <c r="H102">
        <v>5</v>
      </c>
      <c r="I102">
        <v>1</v>
      </c>
      <c r="J102">
        <v>1</v>
      </c>
      <c r="K102" t="str">
        <v>4 single spore colony</v>
      </c>
    </row>
    <row r="103" spans="1:11" x14ac:dyDescent="0.35">
      <c r="A103">
        <v>140</v>
      </c>
      <c r="B103" t="str">
        <v>No</v>
      </c>
      <c r="C103" t="str">
        <v>No</v>
      </c>
      <c r="D103" t="str">
        <v>No</v>
      </c>
      <c r="E103" t="str">
        <v>Unrestricted</v>
      </c>
      <c r="F103">
        <v>20</v>
      </c>
      <c r="G103" t="str">
        <v>HS</v>
      </c>
      <c r="H103">
        <v>20</v>
      </c>
      <c r="I103">
        <v>1</v>
      </c>
      <c r="J103">
        <v>1</v>
      </c>
      <c r="K103" t="str">
        <v>One colony with no IR</v>
      </c>
    </row>
    <row r="104" spans="1:11" x14ac:dyDescent="0.35">
      <c r="A104">
        <v>340</v>
      </c>
      <c r="B104" t="str">
        <v>No</v>
      </c>
      <c r="C104" t="str">
        <v>Yes</v>
      </c>
      <c r="D104" t="str">
        <v>No</v>
      </c>
      <c r="E104" t="str">
        <v>Unrestricted</v>
      </c>
      <c r="F104">
        <v>10</v>
      </c>
      <c r="G104" t="str">
        <v>HS</v>
      </c>
      <c r="H104">
        <v>10</v>
      </c>
      <c r="I104">
        <v>1</v>
      </c>
      <c r="J104">
        <v>1</v>
      </c>
      <c r="K104" t="str">
        <v>One colony has limited immune response; one has some</v>
      </c>
    </row>
    <row r="105" spans="1:11" x14ac:dyDescent="0.35">
      <c r="A105">
        <v>315</v>
      </c>
      <c r="B105" t="str">
        <v>Yes</v>
      </c>
      <c r="C105" t="str">
        <v>Yes</v>
      </c>
      <c r="D105" t="str">
        <v>No</v>
      </c>
      <c r="E105" t="str">
        <v>Unrestricted</v>
      </c>
      <c r="F105">
        <v>20</v>
      </c>
      <c r="G105" t="str">
        <v>HS</v>
      </c>
      <c r="H105">
        <v>20</v>
      </c>
      <c r="I105">
        <v>1</v>
      </c>
      <c r="J105">
        <v>1</v>
      </c>
      <c r="K105" t="str">
        <v>Multiple colonies no IR</v>
      </c>
    </row>
    <row r="106" spans="1:11" x14ac:dyDescent="0.35">
      <c r="A106">
        <v>353</v>
      </c>
      <c r="B106" t="str">
        <v>Yes</v>
      </c>
      <c r="C106" t="str">
        <v>Yes</v>
      </c>
      <c r="D106" t="str">
        <v>No</v>
      </c>
      <c r="E106" t="str">
        <v>Unrestricted</v>
      </c>
      <c r="F106">
        <v>50</v>
      </c>
      <c r="G106" t="str">
        <v>HS</v>
      </c>
      <c r="H106">
        <v>50</v>
      </c>
      <c r="I106">
        <v>1</v>
      </c>
      <c r="J106">
        <v>1</v>
      </c>
      <c r="K106" t="str">
        <v>Multiple colonies no IR</v>
      </c>
    </row>
    <row r="107" spans="1:11" x14ac:dyDescent="0.35">
      <c r="A107">
        <v>613</v>
      </c>
      <c r="B107" t="str">
        <v>No</v>
      </c>
      <c r="C107" t="str">
        <v>No</v>
      </c>
      <c r="D107" t="str">
        <v>No</v>
      </c>
      <c r="E107" t="str">
        <v>Unrestricted</v>
      </c>
      <c r="F107">
        <v>5</v>
      </c>
      <c r="G107" t="str">
        <v>HS</v>
      </c>
      <c r="H107">
        <v>5</v>
      </c>
      <c r="I107">
        <v>1</v>
      </c>
      <c r="J107">
        <v>1</v>
      </c>
      <c r="K107">
        <v>0</v>
      </c>
    </row>
    <row r="108" spans="1:11" x14ac:dyDescent="0.35">
      <c r="A108">
        <v>238</v>
      </c>
      <c r="B108" t="str">
        <v>No</v>
      </c>
      <c r="C108" t="str">
        <v>Yes</v>
      </c>
      <c r="D108" t="str">
        <v>No</v>
      </c>
      <c r="E108" t="str">
        <v>Unrestricted</v>
      </c>
      <c r="F108">
        <v>50</v>
      </c>
      <c r="G108" t="str">
        <v>HS</v>
      </c>
      <c r="H108">
        <v>50</v>
      </c>
      <c r="I108">
        <v>1</v>
      </c>
      <c r="J108">
        <v>1</v>
      </c>
      <c r="K108" t="str">
        <v>Leaf with no IR. Chlorosis on more mature leaves discounted</v>
      </c>
    </row>
    <row r="109" spans="1:11" x14ac:dyDescent="0.35">
      <c r="A109">
        <v>392</v>
      </c>
      <c r="B109" t="str">
        <v>No</v>
      </c>
      <c r="C109" t="str">
        <v>No</v>
      </c>
      <c r="D109" t="str">
        <v>No</v>
      </c>
      <c r="E109" t="str">
        <v>Unrestricted</v>
      </c>
      <c r="F109">
        <v>5</v>
      </c>
      <c r="G109" t="str">
        <v>HS</v>
      </c>
      <c r="H109">
        <v>5</v>
      </c>
      <c r="I109">
        <v>1</v>
      </c>
      <c r="J109">
        <v>1</v>
      </c>
      <c r="K109" t="str">
        <v>Limited IR</v>
      </c>
    </row>
    <row r="110" spans="1:11" x14ac:dyDescent="0.35">
      <c r="A110">
        <v>620</v>
      </c>
      <c r="B110" t="str">
        <v>No</v>
      </c>
      <c r="C110" t="str">
        <v>Yes</v>
      </c>
      <c r="D110" t="str">
        <v>No</v>
      </c>
      <c r="E110" t="str">
        <v>Mix</v>
      </c>
      <c r="F110">
        <v>50</v>
      </c>
      <c r="G110" t="str">
        <v>MRMS</v>
      </c>
      <c r="H110">
        <v>25</v>
      </c>
      <c r="I110">
        <v>0</v>
      </c>
      <c r="J110">
        <v>0</v>
      </c>
      <c r="K110">
        <v>0</v>
      </c>
    </row>
    <row r="111" spans="1:11" x14ac:dyDescent="0.35">
      <c r="A111">
        <v>435</v>
      </c>
      <c r="B111" t="str">
        <v>Yes</v>
      </c>
      <c r="C111" t="str">
        <v>Yes</v>
      </c>
      <c r="D111" t="str">
        <v>No</v>
      </c>
      <c r="E111" t="str">
        <v>Mix</v>
      </c>
      <c r="F111">
        <v>15</v>
      </c>
      <c r="G111" t="str">
        <v>MRMS</v>
      </c>
      <c r="H111">
        <v>7.5</v>
      </c>
      <c r="I111">
        <v>0</v>
      </c>
      <c r="J111">
        <v>0</v>
      </c>
      <c r="K111">
        <v>0</v>
      </c>
    </row>
    <row r="112" spans="1:11" x14ac:dyDescent="0.35">
      <c r="A112">
        <v>508</v>
      </c>
      <c r="B112" t="str">
        <v>No</v>
      </c>
      <c r="C112" t="str">
        <v>No</v>
      </c>
      <c r="D112" t="str">
        <v>No</v>
      </c>
      <c r="E112" t="str">
        <v>Restricted</v>
      </c>
      <c r="F112">
        <v>5</v>
      </c>
      <c r="G112" t="str">
        <v>MRMS</v>
      </c>
      <c r="H112">
        <v>2.5</v>
      </c>
      <c r="I112">
        <v>0</v>
      </c>
      <c r="J112">
        <v>0</v>
      </c>
      <c r="K112" t="str">
        <v>Single spore colony on leaf underside</v>
      </c>
    </row>
    <row r="113" spans="1:11" x14ac:dyDescent="0.35">
      <c r="A113">
        <v>426</v>
      </c>
      <c r="B113" t="str">
        <v>Yes</v>
      </c>
      <c r="C113" t="str">
        <v>Yes</v>
      </c>
      <c r="D113" t="str">
        <v>No</v>
      </c>
      <c r="E113" t="str">
        <v>Restricted</v>
      </c>
      <c r="F113">
        <v>5</v>
      </c>
      <c r="G113" t="str">
        <v>MRMS</v>
      </c>
      <c r="H113">
        <v>2.5</v>
      </c>
      <c r="I113">
        <v>0</v>
      </c>
      <c r="J113">
        <v>0</v>
      </c>
      <c r="K113" t="str">
        <v>A couple of single spore colonies</v>
      </c>
    </row>
    <row r="114" spans="1:11" x14ac:dyDescent="0.35">
      <c r="A114">
        <v>514</v>
      </c>
      <c r="B114" t="str">
        <v>No</v>
      </c>
      <c r="C114" t="str">
        <v>Yes</v>
      </c>
      <c r="D114" t="str">
        <v>Yes</v>
      </c>
      <c r="E114" t="str">
        <v>Restricted</v>
      </c>
      <c r="F114">
        <v>20</v>
      </c>
      <c r="G114" t="str">
        <v>MRMS</v>
      </c>
      <c r="H114">
        <v>10</v>
      </c>
      <c r="I114">
        <v>0</v>
      </c>
      <c r="J114">
        <v>0</v>
      </c>
      <c r="K114">
        <v>0</v>
      </c>
    </row>
    <row r="115" spans="1:11" x14ac:dyDescent="0.35">
      <c r="A115">
        <v>332</v>
      </c>
      <c r="B115" t="str">
        <v>No</v>
      </c>
      <c r="C115" t="str">
        <v>No</v>
      </c>
      <c r="D115" t="str">
        <v>No</v>
      </c>
      <c r="E115" t="str">
        <v>Restricted</v>
      </c>
      <c r="F115">
        <v>5</v>
      </c>
      <c r="G115" t="str">
        <v>MRMS</v>
      </c>
      <c r="H115">
        <v>2.5</v>
      </c>
      <c r="I115">
        <v>0</v>
      </c>
      <c r="J115">
        <v>0</v>
      </c>
      <c r="K115">
        <v>0</v>
      </c>
    </row>
    <row r="116" spans="1:11" x14ac:dyDescent="0.35">
      <c r="A116">
        <v>339</v>
      </c>
      <c r="B116" t="str">
        <v>Yes</v>
      </c>
      <c r="C116" t="str">
        <v>No</v>
      </c>
      <c r="D116" t="str">
        <v>No</v>
      </c>
      <c r="E116" t="str">
        <v>Restricted</v>
      </c>
      <c r="F116">
        <v>10</v>
      </c>
      <c r="G116" t="str">
        <v>MRMS</v>
      </c>
      <c r="H116">
        <v>5</v>
      </c>
      <c r="I116">
        <v>0</v>
      </c>
      <c r="J116">
        <v>0</v>
      </c>
      <c r="K116" t="str">
        <v>Potentially dotted with teliospores?</v>
      </c>
    </row>
    <row r="117" spans="1:11" x14ac:dyDescent="0.35">
      <c r="A117">
        <v>37</v>
      </c>
      <c r="B117" t="str">
        <v>No</v>
      </c>
      <c r="C117" t="str">
        <v>Yes</v>
      </c>
      <c r="D117" t="str">
        <v>No</v>
      </c>
      <c r="E117" t="str">
        <v>Restricted</v>
      </c>
      <c r="F117">
        <v>10</v>
      </c>
      <c r="G117" t="str">
        <v>MRMS</v>
      </c>
      <c r="H117">
        <v>5</v>
      </c>
      <c r="I117">
        <v>0</v>
      </c>
      <c r="J117">
        <v>0</v>
      </c>
      <c r="K117">
        <v>0</v>
      </c>
    </row>
    <row r="118" spans="1:11" x14ac:dyDescent="0.35">
      <c r="A118">
        <v>62</v>
      </c>
      <c r="B118" t="str">
        <v>No</v>
      </c>
      <c r="C118" t="str">
        <v>Yes</v>
      </c>
      <c r="D118" t="str">
        <v>No</v>
      </c>
      <c r="E118" t="str">
        <v>Restricted</v>
      </c>
      <c r="F118">
        <v>30</v>
      </c>
      <c r="G118" t="str">
        <v>MRMS</v>
      </c>
      <c r="H118">
        <v>15</v>
      </c>
      <c r="I118">
        <v>0</v>
      </c>
      <c r="J118">
        <v>0</v>
      </c>
      <c r="K118">
        <v>0</v>
      </c>
    </row>
    <row r="119" spans="1:11" x14ac:dyDescent="0.35">
      <c r="A119">
        <v>130</v>
      </c>
      <c r="B119" t="str">
        <v>No</v>
      </c>
      <c r="C119" t="str">
        <v>Yes</v>
      </c>
      <c r="D119" t="str">
        <v>No</v>
      </c>
      <c r="E119" t="str">
        <v>Restricted</v>
      </c>
      <c r="F119">
        <v>15</v>
      </c>
      <c r="G119" t="str">
        <v>MRMS</v>
      </c>
      <c r="H119">
        <v>7.5</v>
      </c>
      <c r="I119">
        <v>0</v>
      </c>
      <c r="J119">
        <v>0</v>
      </c>
      <c r="K119">
        <v>0</v>
      </c>
    </row>
    <row r="120" spans="1:11" x14ac:dyDescent="0.35">
      <c r="A120">
        <v>135</v>
      </c>
      <c r="B120" t="str">
        <v>No</v>
      </c>
      <c r="C120" t="str">
        <v>Yes</v>
      </c>
      <c r="D120" t="str">
        <v>No</v>
      </c>
      <c r="E120" t="str">
        <v>Restricted</v>
      </c>
      <c r="F120">
        <v>5</v>
      </c>
      <c r="G120" t="str">
        <v>MRMS</v>
      </c>
      <c r="H120">
        <v>2.5</v>
      </c>
      <c r="I120">
        <v>0</v>
      </c>
      <c r="J120">
        <v>0</v>
      </c>
      <c r="K120" t="str">
        <v>3 single spore coloniwa</v>
      </c>
    </row>
    <row r="121" spans="1:11" x14ac:dyDescent="0.35">
      <c r="A121">
        <v>142</v>
      </c>
      <c r="B121" t="str">
        <v>No</v>
      </c>
      <c r="C121" t="str">
        <v>Yes</v>
      </c>
      <c r="D121" t="str">
        <v>No</v>
      </c>
      <c r="E121" t="str">
        <v>Restricted</v>
      </c>
      <c r="F121">
        <v>25</v>
      </c>
      <c r="G121" t="str">
        <v>MRMS</v>
      </c>
      <c r="H121">
        <v>12.5</v>
      </c>
      <c r="I121">
        <v>0</v>
      </c>
      <c r="J121">
        <v>0</v>
      </c>
      <c r="K121">
        <v>0</v>
      </c>
    </row>
    <row r="122" spans="1:11" x14ac:dyDescent="0.35">
      <c r="A122">
        <v>146</v>
      </c>
      <c r="B122" t="str">
        <v>No</v>
      </c>
      <c r="C122" t="str">
        <v>Yes</v>
      </c>
      <c r="D122" t="str">
        <v>No</v>
      </c>
      <c r="E122" t="str">
        <v>Restricted</v>
      </c>
      <c r="F122">
        <v>10</v>
      </c>
      <c r="G122" t="str">
        <v>MRMS</v>
      </c>
      <c r="H122">
        <v>5</v>
      </c>
      <c r="I122">
        <v>0</v>
      </c>
      <c r="J122">
        <v>0</v>
      </c>
      <c r="K122" t="str">
        <v>Single 1 spore colony</v>
      </c>
    </row>
    <row r="123" spans="1:11" x14ac:dyDescent="0.35">
      <c r="A123">
        <v>149</v>
      </c>
      <c r="B123" t="str">
        <v>No</v>
      </c>
      <c r="C123" t="str">
        <v>Yes</v>
      </c>
      <c r="D123" t="str">
        <v>No</v>
      </c>
      <c r="E123" t="str">
        <v>Restricted</v>
      </c>
      <c r="F123">
        <v>10</v>
      </c>
      <c r="G123" t="str">
        <v>MRMS</v>
      </c>
      <c r="H123">
        <v>5</v>
      </c>
      <c r="I123">
        <v>0</v>
      </c>
      <c r="J123">
        <v>0</v>
      </c>
      <c r="K123">
        <v>0</v>
      </c>
    </row>
    <row r="124" spans="1:11" x14ac:dyDescent="0.35">
      <c r="A124">
        <v>239</v>
      </c>
      <c r="B124" t="str">
        <v>No</v>
      </c>
      <c r="C124" t="str">
        <v>Yes</v>
      </c>
      <c r="D124" t="str">
        <v>No</v>
      </c>
      <c r="E124" t="str">
        <v>Restricted</v>
      </c>
      <c r="F124">
        <v>25</v>
      </c>
      <c r="G124" t="str">
        <v>MRMS</v>
      </c>
      <c r="H124">
        <v>12.5</v>
      </c>
      <c r="I124">
        <v>0</v>
      </c>
      <c r="J124">
        <v>0</v>
      </c>
      <c r="K124">
        <v>0</v>
      </c>
    </row>
    <row r="125" spans="1:11" x14ac:dyDescent="0.35">
      <c r="A125">
        <v>243</v>
      </c>
      <c r="B125" t="str">
        <v>No</v>
      </c>
      <c r="C125" t="str">
        <v>Yes</v>
      </c>
      <c r="D125" t="str">
        <v>No</v>
      </c>
      <c r="E125" t="str">
        <v>Restricted</v>
      </c>
      <c r="F125">
        <v>5</v>
      </c>
      <c r="G125" t="str">
        <v>MRMS</v>
      </c>
      <c r="H125">
        <v>2.5</v>
      </c>
      <c r="I125">
        <v>0</v>
      </c>
      <c r="J125">
        <v>0</v>
      </c>
      <c r="K125" t="str">
        <v>Two single spore colony</v>
      </c>
    </row>
    <row r="126" spans="1:11" x14ac:dyDescent="0.35">
      <c r="A126">
        <v>336</v>
      </c>
      <c r="B126" t="str">
        <v>No</v>
      </c>
      <c r="C126" t="str">
        <v>Yes</v>
      </c>
      <c r="D126" t="str">
        <v>No</v>
      </c>
      <c r="E126" t="str">
        <v>Restricted</v>
      </c>
      <c r="F126">
        <v>5</v>
      </c>
      <c r="G126" t="str">
        <v>MRMS</v>
      </c>
      <c r="H126">
        <v>2.5</v>
      </c>
      <c r="I126">
        <v>0</v>
      </c>
      <c r="J126">
        <v>0</v>
      </c>
      <c r="K126" t="str">
        <v>Two single spore colonies</v>
      </c>
    </row>
    <row r="127" spans="1:11" x14ac:dyDescent="0.35">
      <c r="A127">
        <v>360</v>
      </c>
      <c r="B127" t="str">
        <v>No</v>
      </c>
      <c r="C127" t="str">
        <v>Yes</v>
      </c>
      <c r="D127" t="str">
        <v>No</v>
      </c>
      <c r="E127" t="str">
        <v>Restricted</v>
      </c>
      <c r="F127">
        <v>10</v>
      </c>
      <c r="G127" t="str">
        <v>MRMS</v>
      </c>
      <c r="H127">
        <v>5</v>
      </c>
      <c r="I127">
        <v>0</v>
      </c>
      <c r="J127">
        <v>0</v>
      </c>
      <c r="K127" t="str">
        <v>Two single spore colony</v>
      </c>
    </row>
    <row r="128" spans="1:11" x14ac:dyDescent="0.35">
      <c r="A128">
        <v>372</v>
      </c>
      <c r="B128" t="str">
        <v>No</v>
      </c>
      <c r="C128" t="str">
        <v>Yes</v>
      </c>
      <c r="D128" t="str">
        <v>No</v>
      </c>
      <c r="E128" t="str">
        <v>Restricted</v>
      </c>
      <c r="F128">
        <v>10</v>
      </c>
      <c r="G128" t="str">
        <v>MRMS</v>
      </c>
      <c r="H128">
        <v>5</v>
      </c>
      <c r="I128">
        <v>0</v>
      </c>
      <c r="J128">
        <v>0</v>
      </c>
      <c r="K128">
        <v>0</v>
      </c>
    </row>
    <row r="129" spans="1:11" x14ac:dyDescent="0.35">
      <c r="A129">
        <v>375</v>
      </c>
      <c r="B129" t="str">
        <v>No</v>
      </c>
      <c r="C129" t="str">
        <v>Yes</v>
      </c>
      <c r="D129" t="str">
        <v>No</v>
      </c>
      <c r="E129" t="str">
        <v>Restricted</v>
      </c>
      <c r="F129">
        <v>5</v>
      </c>
      <c r="G129" t="str">
        <v>MRMS</v>
      </c>
      <c r="H129">
        <v>2.5</v>
      </c>
      <c r="I129">
        <v>0</v>
      </c>
      <c r="J129">
        <v>0</v>
      </c>
      <c r="K129">
        <v>0</v>
      </c>
    </row>
    <row r="130" spans="1:11" x14ac:dyDescent="0.35">
      <c r="A130">
        <v>388</v>
      </c>
      <c r="B130" t="str">
        <v>No</v>
      </c>
      <c r="C130" t="str">
        <v>Yes</v>
      </c>
      <c r="D130" t="str">
        <v>No</v>
      </c>
      <c r="E130" t="str">
        <v>Restricted</v>
      </c>
      <c r="F130">
        <v>10</v>
      </c>
      <c r="G130" t="str">
        <v>MRMS</v>
      </c>
      <c r="H130">
        <v>5</v>
      </c>
      <c r="I130">
        <v>0</v>
      </c>
      <c r="J130">
        <v>0</v>
      </c>
      <c r="K130" t="str">
        <v>One 2 spore colony</v>
      </c>
    </row>
    <row r="131" spans="1:11" x14ac:dyDescent="0.35">
      <c r="A131">
        <v>389</v>
      </c>
      <c r="B131" t="str">
        <v>No</v>
      </c>
      <c r="C131" t="str">
        <v>Yes</v>
      </c>
      <c r="D131" t="str">
        <v>No</v>
      </c>
      <c r="E131" t="str">
        <v>Restricted</v>
      </c>
      <c r="F131">
        <v>5</v>
      </c>
      <c r="G131" t="str">
        <v>MRMS</v>
      </c>
      <c r="H131">
        <v>2.5</v>
      </c>
      <c r="I131">
        <v>0</v>
      </c>
      <c r="J131">
        <v>0</v>
      </c>
      <c r="K131" t="str">
        <v>Three 1 spore colony</v>
      </c>
    </row>
    <row r="132" spans="1:11" x14ac:dyDescent="0.35">
      <c r="A132">
        <v>406</v>
      </c>
      <c r="B132" t="str">
        <v>No</v>
      </c>
      <c r="C132" t="str">
        <v>Yes</v>
      </c>
      <c r="D132" t="str">
        <v>No</v>
      </c>
      <c r="E132" t="str">
        <v>Restricted</v>
      </c>
      <c r="F132">
        <v>25</v>
      </c>
      <c r="G132" t="str">
        <v>MRMS</v>
      </c>
      <c r="H132">
        <v>12.5</v>
      </c>
      <c r="I132">
        <v>0</v>
      </c>
      <c r="J132">
        <v>0</v>
      </c>
      <c r="K132" t="str">
        <v>Single one spore colony. Large chlorotic cover</v>
      </c>
    </row>
    <row r="133" spans="1:11" x14ac:dyDescent="0.35">
      <c r="A133">
        <v>484</v>
      </c>
      <c r="B133" t="str">
        <v>No</v>
      </c>
      <c r="C133" t="str">
        <v>Yes</v>
      </c>
      <c r="D133" t="str">
        <v>No</v>
      </c>
      <c r="E133" t="str">
        <v>Restricted</v>
      </c>
      <c r="F133">
        <v>10</v>
      </c>
      <c r="G133" t="str">
        <v>MRMS</v>
      </c>
      <c r="H133">
        <v>5</v>
      </c>
      <c r="I133">
        <v>0</v>
      </c>
      <c r="J133">
        <v>0</v>
      </c>
      <c r="K133">
        <v>0</v>
      </c>
    </row>
    <row r="134" spans="1:11" x14ac:dyDescent="0.35">
      <c r="A134">
        <v>667</v>
      </c>
      <c r="B134" t="str">
        <v>No</v>
      </c>
      <c r="C134" t="str">
        <v>Yes</v>
      </c>
      <c r="D134" t="str">
        <v>No</v>
      </c>
      <c r="E134" t="str">
        <v>Restricted</v>
      </c>
      <c r="F134">
        <v>10</v>
      </c>
      <c r="G134" t="str">
        <v>MRMS</v>
      </c>
      <c r="H134">
        <v>5</v>
      </c>
      <c r="I134">
        <v>0</v>
      </c>
      <c r="J134">
        <v>0</v>
      </c>
      <c r="K134">
        <v>0</v>
      </c>
    </row>
    <row r="135" spans="1:11" x14ac:dyDescent="0.35">
      <c r="A135">
        <v>740</v>
      </c>
      <c r="B135" t="str">
        <v>No</v>
      </c>
      <c r="C135" t="str">
        <v>Yes</v>
      </c>
      <c r="D135" t="str">
        <v>No</v>
      </c>
      <c r="E135" t="str">
        <v>Restricted</v>
      </c>
      <c r="F135">
        <v>5</v>
      </c>
      <c r="G135" t="str">
        <v>MRMS</v>
      </c>
      <c r="H135">
        <v>2.5</v>
      </c>
      <c r="I135">
        <v>0</v>
      </c>
      <c r="J135">
        <v>0</v>
      </c>
      <c r="K135" t="str">
        <v>single spore colony on branch</v>
      </c>
    </row>
    <row r="136" spans="1:11" x14ac:dyDescent="0.35">
      <c r="A136">
        <v>742</v>
      </c>
      <c r="B136" t="str">
        <v>No</v>
      </c>
      <c r="C136" t="str">
        <v>Yes</v>
      </c>
      <c r="D136" t="str">
        <v>No</v>
      </c>
      <c r="E136" t="str">
        <v>Restricted</v>
      </c>
      <c r="F136">
        <v>5</v>
      </c>
      <c r="G136" t="str">
        <v>MRMS</v>
      </c>
      <c r="H136">
        <v>2.5</v>
      </c>
      <c r="I136">
        <v>0</v>
      </c>
      <c r="J136">
        <v>0</v>
      </c>
      <c r="K136" t="str">
        <v xml:space="preserve">single spore colony </v>
      </c>
    </row>
    <row r="137" spans="1:11" x14ac:dyDescent="0.35">
      <c r="A137">
        <v>32</v>
      </c>
      <c r="B137" t="str">
        <v>Yes</v>
      </c>
      <c r="C137" t="str">
        <v>Yes</v>
      </c>
      <c r="D137" t="str">
        <v>No</v>
      </c>
      <c r="E137" t="str">
        <v>Restricted</v>
      </c>
      <c r="F137">
        <v>5</v>
      </c>
      <c r="G137" t="str">
        <v>MRMS</v>
      </c>
      <c r="H137">
        <v>2.5</v>
      </c>
      <c r="I137">
        <v>0</v>
      </c>
      <c r="J137">
        <v>0</v>
      </c>
      <c r="K137" t="str">
        <v>Single one spore colony</v>
      </c>
    </row>
    <row r="138" spans="1:11" x14ac:dyDescent="0.35">
      <c r="A138">
        <v>56</v>
      </c>
      <c r="B138" t="str">
        <v>Yes</v>
      </c>
      <c r="C138" t="str">
        <v>Yes</v>
      </c>
      <c r="D138" t="str">
        <v>No</v>
      </c>
      <c r="E138" t="str">
        <v>Restricted</v>
      </c>
      <c r="F138">
        <v>15</v>
      </c>
      <c r="G138" t="str">
        <v>MRMS</v>
      </c>
      <c r="H138">
        <v>7.5</v>
      </c>
      <c r="I138">
        <v>0</v>
      </c>
      <c r="J138">
        <v>0</v>
      </c>
      <c r="K138">
        <v>0</v>
      </c>
    </row>
    <row r="139" spans="1:11" x14ac:dyDescent="0.35">
      <c r="A139">
        <v>95</v>
      </c>
      <c r="B139" t="str">
        <v>Yes</v>
      </c>
      <c r="C139" t="str">
        <v>Yes</v>
      </c>
      <c r="D139" t="str">
        <v>No</v>
      </c>
      <c r="E139" t="str">
        <v>Restricted</v>
      </c>
      <c r="F139">
        <v>5</v>
      </c>
      <c r="G139" t="str">
        <v>MRMS</v>
      </c>
      <c r="H139">
        <v>2.5</v>
      </c>
      <c r="I139">
        <v>0</v>
      </c>
      <c r="J139">
        <v>0</v>
      </c>
      <c r="K139" t="str">
        <v>Single one spore colony</v>
      </c>
    </row>
    <row r="140" spans="1:11" x14ac:dyDescent="0.35">
      <c r="A140">
        <v>190</v>
      </c>
      <c r="B140" t="str">
        <v>Yes</v>
      </c>
      <c r="C140" t="str">
        <v>Yes</v>
      </c>
      <c r="D140" t="str">
        <v>No</v>
      </c>
      <c r="E140" t="str">
        <v>Restricted</v>
      </c>
      <c r="F140">
        <v>40</v>
      </c>
      <c r="G140" t="str">
        <v>MRMS</v>
      </c>
      <c r="H140">
        <v>20</v>
      </c>
      <c r="I140">
        <v>0</v>
      </c>
      <c r="J140">
        <v>0</v>
      </c>
      <c r="K140">
        <v>0</v>
      </c>
    </row>
    <row r="141" spans="1:11" x14ac:dyDescent="0.35">
      <c r="A141">
        <v>210</v>
      </c>
      <c r="B141" t="str">
        <v>Yes</v>
      </c>
      <c r="C141" t="str">
        <v>Yes</v>
      </c>
      <c r="D141" t="str">
        <v>No</v>
      </c>
      <c r="E141" t="str">
        <v>Restricted</v>
      </c>
      <c r="F141">
        <v>5</v>
      </c>
      <c r="G141" t="str">
        <v>MRMS</v>
      </c>
      <c r="H141">
        <v>2.5</v>
      </c>
      <c r="I141">
        <v>0</v>
      </c>
      <c r="J141">
        <v>0</v>
      </c>
      <c r="K141" t="str">
        <v>Single 1 spore colony</v>
      </c>
    </row>
    <row r="142" spans="1:11" x14ac:dyDescent="0.35">
      <c r="A142">
        <v>220</v>
      </c>
      <c r="B142" t="str">
        <v>Yes</v>
      </c>
      <c r="C142" t="str">
        <v>Yes</v>
      </c>
      <c r="D142" t="str">
        <v>No</v>
      </c>
      <c r="E142" t="str">
        <v>Restricted</v>
      </c>
      <c r="F142">
        <v>10</v>
      </c>
      <c r="G142" t="str">
        <v>MRMS</v>
      </c>
      <c r="H142">
        <v>5</v>
      </c>
      <c r="I142">
        <v>0</v>
      </c>
      <c r="J142">
        <v>0</v>
      </c>
      <c r="K142">
        <v>0</v>
      </c>
    </row>
    <row r="143" spans="1:11" x14ac:dyDescent="0.35">
      <c r="A143">
        <v>285</v>
      </c>
      <c r="B143" t="str">
        <v>Yes</v>
      </c>
      <c r="C143" t="str">
        <v>Yes</v>
      </c>
      <c r="D143" t="str">
        <v>No</v>
      </c>
      <c r="E143" t="str">
        <v>Restricted</v>
      </c>
      <c r="F143">
        <v>5</v>
      </c>
      <c r="G143" t="str">
        <v>MRMS</v>
      </c>
      <c r="H143">
        <v>2.5</v>
      </c>
      <c r="I143">
        <v>0</v>
      </c>
      <c r="J143">
        <v>0</v>
      </c>
      <c r="K143" t="str">
        <v>Two colonies with single spore. Mealy bug presence on susceptible leaves</v>
      </c>
    </row>
    <row r="144" spans="1:11" x14ac:dyDescent="0.35">
      <c r="A144">
        <v>286</v>
      </c>
      <c r="B144" t="str">
        <v>Yes</v>
      </c>
      <c r="C144" t="str">
        <v>Yes</v>
      </c>
      <c r="D144" t="str">
        <v>No</v>
      </c>
      <c r="E144" t="str">
        <v>Restricted</v>
      </c>
      <c r="F144">
        <v>30</v>
      </c>
      <c r="G144" t="str">
        <v>MRMS</v>
      </c>
      <c r="H144">
        <v>15</v>
      </c>
      <c r="I144">
        <v>0</v>
      </c>
      <c r="J144">
        <v>0</v>
      </c>
      <c r="K144">
        <v>0</v>
      </c>
    </row>
    <row r="145" spans="1:11" x14ac:dyDescent="0.35">
      <c r="A145">
        <v>386</v>
      </c>
      <c r="B145" t="str">
        <v>Yes</v>
      </c>
      <c r="C145" t="str">
        <v>Yes</v>
      </c>
      <c r="D145" t="str">
        <v>No</v>
      </c>
      <c r="E145" t="str">
        <v>Restricted</v>
      </c>
      <c r="F145">
        <v>15</v>
      </c>
      <c r="G145" t="str">
        <v>MRMS</v>
      </c>
      <c r="H145">
        <v>7.5</v>
      </c>
      <c r="I145">
        <v>0</v>
      </c>
      <c r="J145">
        <v>0</v>
      </c>
      <c r="K145">
        <v>0</v>
      </c>
    </row>
    <row r="146" spans="1:11" x14ac:dyDescent="0.35">
      <c r="A146">
        <v>390</v>
      </c>
      <c r="B146" t="str">
        <v>Yes</v>
      </c>
      <c r="C146" t="str">
        <v>Yes</v>
      </c>
      <c r="D146" t="str">
        <v>No</v>
      </c>
      <c r="E146" t="str">
        <v>Restricted</v>
      </c>
      <c r="F146">
        <v>10</v>
      </c>
      <c r="G146" t="str">
        <v>MRMS</v>
      </c>
      <c r="H146">
        <v>5</v>
      </c>
      <c r="I146">
        <v>0</v>
      </c>
      <c r="J146">
        <v>0</v>
      </c>
      <c r="K146">
        <v>0</v>
      </c>
    </row>
    <row r="147" spans="1:11" x14ac:dyDescent="0.35">
      <c r="A147">
        <v>391</v>
      </c>
      <c r="B147" t="str">
        <v>Yes</v>
      </c>
      <c r="C147" t="str">
        <v>Yes</v>
      </c>
      <c r="D147" t="str">
        <v>No</v>
      </c>
      <c r="E147" t="str">
        <v>Restricted</v>
      </c>
      <c r="F147">
        <v>10</v>
      </c>
      <c r="G147" t="str">
        <v>MRMS</v>
      </c>
      <c r="H147">
        <v>5</v>
      </c>
      <c r="I147">
        <v>0</v>
      </c>
      <c r="J147">
        <v>0</v>
      </c>
      <c r="K147">
        <v>0</v>
      </c>
    </row>
    <row r="148" spans="1:11" x14ac:dyDescent="0.35">
      <c r="A148">
        <v>414</v>
      </c>
      <c r="B148" t="str">
        <v>Yes</v>
      </c>
      <c r="C148" t="str">
        <v>Yes</v>
      </c>
      <c r="D148" t="str">
        <v>No</v>
      </c>
      <c r="E148" t="str">
        <v>Restricted</v>
      </c>
      <c r="F148">
        <v>5</v>
      </c>
      <c r="G148" t="str">
        <v>MRMS</v>
      </c>
      <c r="H148">
        <v>2.5</v>
      </c>
      <c r="I148">
        <v>0</v>
      </c>
      <c r="J148">
        <v>0</v>
      </c>
      <c r="K148">
        <v>0</v>
      </c>
    </row>
    <row r="149" spans="1:11" x14ac:dyDescent="0.35">
      <c r="A149">
        <v>617</v>
      </c>
      <c r="B149" t="str">
        <v>Yes</v>
      </c>
      <c r="C149" t="str">
        <v>Yes</v>
      </c>
      <c r="D149" t="str">
        <v>No</v>
      </c>
      <c r="E149" t="str">
        <v>Restricted</v>
      </c>
      <c r="F149">
        <v>10</v>
      </c>
      <c r="G149" t="str">
        <v>MRMS</v>
      </c>
      <c r="H149">
        <v>5</v>
      </c>
      <c r="I149">
        <v>0</v>
      </c>
      <c r="J149">
        <v>0</v>
      </c>
      <c r="K149">
        <v>0</v>
      </c>
    </row>
    <row r="150" spans="1:11" x14ac:dyDescent="0.35">
      <c r="A150">
        <v>633</v>
      </c>
      <c r="B150" t="str">
        <v>Yes</v>
      </c>
      <c r="C150" t="str">
        <v>Yes</v>
      </c>
      <c r="D150" t="str">
        <v>No</v>
      </c>
      <c r="E150" t="str">
        <v>Restricted</v>
      </c>
      <c r="F150">
        <v>40</v>
      </c>
      <c r="G150" t="str">
        <v>MRMS</v>
      </c>
      <c r="H150">
        <v>20</v>
      </c>
      <c r="I150">
        <v>0</v>
      </c>
      <c r="J150">
        <v>0</v>
      </c>
      <c r="K150">
        <v>0</v>
      </c>
    </row>
    <row r="151" spans="1:11" x14ac:dyDescent="0.35">
      <c r="A151">
        <v>637</v>
      </c>
      <c r="B151" t="str">
        <v>Yes</v>
      </c>
      <c r="C151" t="str">
        <v>Yes</v>
      </c>
      <c r="D151" t="str">
        <v>No</v>
      </c>
      <c r="E151" t="str">
        <v>Restricted</v>
      </c>
      <c r="F151">
        <v>10</v>
      </c>
      <c r="G151" t="str">
        <v>MRMS</v>
      </c>
      <c r="H151">
        <v>5</v>
      </c>
      <c r="I151">
        <v>0</v>
      </c>
      <c r="J151">
        <v>0</v>
      </c>
      <c r="K151">
        <v>0</v>
      </c>
    </row>
    <row r="152" spans="1:11" x14ac:dyDescent="0.35">
      <c r="A152">
        <v>72</v>
      </c>
      <c r="B152" t="str">
        <v>No</v>
      </c>
      <c r="C152" t="str">
        <v>Yes</v>
      </c>
      <c r="D152" t="str">
        <v>No</v>
      </c>
      <c r="E152" t="str">
        <v>Restricted</v>
      </c>
      <c r="F152">
        <v>5</v>
      </c>
      <c r="G152" t="str">
        <v>MRMS</v>
      </c>
      <c r="H152">
        <v>2.5</v>
      </c>
      <c r="I152">
        <v>0</v>
      </c>
      <c r="J152">
        <v>0</v>
      </c>
      <c r="K152">
        <v>0</v>
      </c>
    </row>
    <row r="153" spans="1:11" x14ac:dyDescent="0.35">
      <c r="A153">
        <v>316</v>
      </c>
      <c r="B153" t="str">
        <v>No</v>
      </c>
      <c r="C153" t="str">
        <v>Yes</v>
      </c>
      <c r="D153" t="str">
        <v>Yes</v>
      </c>
      <c r="E153" t="str">
        <v>Restricted</v>
      </c>
      <c r="F153">
        <v>15</v>
      </c>
      <c r="G153" t="str">
        <v>MRMS</v>
      </c>
      <c r="H153">
        <v>7.5</v>
      </c>
      <c r="I153">
        <v>0</v>
      </c>
      <c r="J153">
        <v>0</v>
      </c>
      <c r="K153">
        <v>0</v>
      </c>
    </row>
    <row r="154" spans="1:11" x14ac:dyDescent="0.35">
      <c r="A154">
        <v>218</v>
      </c>
      <c r="B154" t="str">
        <v>Yes</v>
      </c>
      <c r="C154" t="str">
        <v>Yes</v>
      </c>
      <c r="D154" t="str">
        <v>Yes</v>
      </c>
      <c r="E154" t="str">
        <v>Restricted</v>
      </c>
      <c r="F154">
        <v>5</v>
      </c>
      <c r="G154" t="str">
        <v>MRMS</v>
      </c>
      <c r="H154">
        <v>2.5</v>
      </c>
      <c r="I154">
        <v>0</v>
      </c>
      <c r="J154">
        <v>0</v>
      </c>
      <c r="K154" t="str">
        <v>Warped leaf</v>
      </c>
    </row>
    <row r="155" spans="1:11" x14ac:dyDescent="0.35">
      <c r="A155">
        <v>408</v>
      </c>
      <c r="B155" t="str">
        <v>Yes</v>
      </c>
      <c r="C155" t="str">
        <v>Yes</v>
      </c>
      <c r="D155" t="str">
        <v>Yes</v>
      </c>
      <c r="E155" t="str">
        <v>Restricted</v>
      </c>
      <c r="F155">
        <v>15</v>
      </c>
      <c r="G155" t="str">
        <v>MRMS</v>
      </c>
      <c r="H155">
        <v>7.5</v>
      </c>
      <c r="I155">
        <v>0</v>
      </c>
      <c r="J155">
        <v>0</v>
      </c>
      <c r="K155">
        <v>0</v>
      </c>
    </row>
    <row r="156" spans="1:11" x14ac:dyDescent="0.35">
      <c r="A156">
        <v>438</v>
      </c>
      <c r="B156" t="str">
        <v>Yes</v>
      </c>
      <c r="C156" t="str">
        <v>Yes</v>
      </c>
      <c r="D156" t="str">
        <v>Yes</v>
      </c>
      <c r="E156" t="str">
        <v>Restricted</v>
      </c>
      <c r="F156">
        <v>10</v>
      </c>
      <c r="G156" t="str">
        <v>MRMS</v>
      </c>
      <c r="H156">
        <v>5</v>
      </c>
      <c r="I156">
        <v>0</v>
      </c>
      <c r="J156">
        <v>0</v>
      </c>
      <c r="K156" t="str">
        <v>Single pustule spore colony</v>
      </c>
    </row>
    <row r="157" spans="1:11" x14ac:dyDescent="0.35">
      <c r="A157">
        <v>487</v>
      </c>
      <c r="B157" t="str">
        <v>Yes</v>
      </c>
      <c r="C157" t="str">
        <v>Yes</v>
      </c>
      <c r="D157" t="str">
        <v>Yes</v>
      </c>
      <c r="E157" t="str">
        <v>Restricted</v>
      </c>
      <c r="F157">
        <v>50</v>
      </c>
      <c r="G157" t="str">
        <v>MRMS</v>
      </c>
      <c r="H157">
        <v>25</v>
      </c>
      <c r="I157">
        <v>0</v>
      </c>
      <c r="J157">
        <v>0</v>
      </c>
      <c r="K157">
        <v>0</v>
      </c>
    </row>
    <row r="158" spans="1:11" x14ac:dyDescent="0.35">
      <c r="A158">
        <v>657</v>
      </c>
      <c r="B158" t="str">
        <v>Yes</v>
      </c>
      <c r="C158" t="str">
        <v>Yes</v>
      </c>
      <c r="D158" t="str">
        <v>Yes</v>
      </c>
      <c r="E158" t="str">
        <v>Restricted</v>
      </c>
      <c r="F158">
        <v>10</v>
      </c>
      <c r="G158" t="str">
        <v>MRMS</v>
      </c>
      <c r="H158">
        <v>5</v>
      </c>
      <c r="I158">
        <v>0</v>
      </c>
      <c r="J158">
        <v>0</v>
      </c>
      <c r="K158" t="str">
        <v>Single pustule spore colony</v>
      </c>
    </row>
    <row r="159" spans="1:11" x14ac:dyDescent="0.35">
      <c r="A159">
        <v>655</v>
      </c>
      <c r="B159" t="str">
        <v>No</v>
      </c>
      <c r="C159" t="str">
        <v>No</v>
      </c>
      <c r="D159" t="str">
        <v>No</v>
      </c>
      <c r="E159" t="str">
        <v>Restricted</v>
      </c>
      <c r="F159">
        <v>5</v>
      </c>
      <c r="G159" t="str">
        <v>MRMS</v>
      </c>
      <c r="H159">
        <v>2.5</v>
      </c>
      <c r="I159">
        <v>0</v>
      </c>
      <c r="J159">
        <v>0</v>
      </c>
      <c r="K159" t="str">
        <v>Single 2 spore colony underside leaf otherwise clean</v>
      </c>
    </row>
    <row r="160" spans="1:11" x14ac:dyDescent="0.35">
      <c r="A160">
        <v>434</v>
      </c>
      <c r="B160" t="str">
        <v>Yes</v>
      </c>
      <c r="C160" t="str">
        <v>No</v>
      </c>
      <c r="D160" t="str">
        <v>No</v>
      </c>
      <c r="E160" t="str">
        <v>Mix</v>
      </c>
      <c r="F160">
        <v>10</v>
      </c>
      <c r="G160" t="str">
        <v>MS</v>
      </c>
      <c r="H160">
        <v>7.5</v>
      </c>
      <c r="I160">
        <v>0</v>
      </c>
      <c r="J160">
        <v>1</v>
      </c>
      <c r="K160" t="str">
        <v>10 single spore colony on one leaf, but one unrestricted 5+ spores pustule</v>
      </c>
    </row>
    <row r="161" spans="1:11" x14ac:dyDescent="0.35">
      <c r="A161">
        <v>162</v>
      </c>
      <c r="B161" t="str">
        <v>No</v>
      </c>
      <c r="C161" t="str">
        <v>Yes</v>
      </c>
      <c r="D161" t="str">
        <v>No</v>
      </c>
      <c r="E161" t="str">
        <v>Mix</v>
      </c>
      <c r="F161">
        <v>50</v>
      </c>
      <c r="G161" t="str">
        <v>MS</v>
      </c>
      <c r="H161">
        <v>37.5</v>
      </c>
      <c r="I161">
        <v>0</v>
      </c>
      <c r="J161">
        <v>1</v>
      </c>
      <c r="K161">
        <v>0</v>
      </c>
    </row>
    <row r="162" spans="1:11" x14ac:dyDescent="0.35">
      <c r="A162">
        <v>206</v>
      </c>
      <c r="B162" t="str">
        <v>No</v>
      </c>
      <c r="C162" t="str">
        <v>Yes</v>
      </c>
      <c r="D162" t="str">
        <v>No</v>
      </c>
      <c r="E162" t="str">
        <v>Mix</v>
      </c>
      <c r="F162">
        <v>5</v>
      </c>
      <c r="G162" t="str">
        <v>MS</v>
      </c>
      <c r="H162">
        <v>3.75</v>
      </c>
      <c r="I162">
        <v>0</v>
      </c>
      <c r="J162">
        <v>1</v>
      </c>
      <c r="K162" t="str">
        <v>On branch</v>
      </c>
    </row>
    <row r="163" spans="1:11" x14ac:dyDescent="0.35">
      <c r="A163">
        <v>507</v>
      </c>
      <c r="B163" t="str">
        <v>No</v>
      </c>
      <c r="C163" t="str">
        <v>Yes</v>
      </c>
      <c r="D163" t="str">
        <v>No</v>
      </c>
      <c r="E163" t="str">
        <v>Mix</v>
      </c>
      <c r="F163">
        <v>60</v>
      </c>
      <c r="G163" t="str">
        <v>MS</v>
      </c>
      <c r="H163">
        <v>45</v>
      </c>
      <c r="I163">
        <v>0</v>
      </c>
      <c r="J163">
        <v>1</v>
      </c>
      <c r="K163">
        <v>0</v>
      </c>
    </row>
    <row r="164" spans="1:11" x14ac:dyDescent="0.35">
      <c r="A164">
        <v>638</v>
      </c>
      <c r="B164" t="str">
        <v>No</v>
      </c>
      <c r="C164" t="str">
        <v>Yes</v>
      </c>
      <c r="D164" t="str">
        <v>No</v>
      </c>
      <c r="E164" t="str">
        <v>Mix</v>
      </c>
      <c r="F164">
        <v>15</v>
      </c>
      <c r="G164" t="str">
        <v>MS</v>
      </c>
      <c r="H164">
        <v>11.25</v>
      </c>
      <c r="I164">
        <v>0</v>
      </c>
      <c r="J164">
        <v>1</v>
      </c>
      <c r="K164">
        <v>0</v>
      </c>
    </row>
    <row r="165" spans="1:11" x14ac:dyDescent="0.35">
      <c r="A165">
        <v>433</v>
      </c>
      <c r="B165" t="str">
        <v>Yes</v>
      </c>
      <c r="C165" t="str">
        <v>Yes</v>
      </c>
      <c r="D165" t="str">
        <v>No</v>
      </c>
      <c r="E165" t="str">
        <v>Mix</v>
      </c>
      <c r="F165">
        <v>10</v>
      </c>
      <c r="G165" t="str">
        <v>MS</v>
      </c>
      <c r="H165">
        <v>7.5</v>
      </c>
      <c r="I165">
        <v>0</v>
      </c>
      <c r="J165">
        <v>1</v>
      </c>
      <c r="K165" t="str">
        <v>On branch</v>
      </c>
    </row>
    <row r="166" spans="1:11" x14ac:dyDescent="0.35">
      <c r="A166">
        <v>744</v>
      </c>
      <c r="B166" t="str">
        <v>Yes</v>
      </c>
      <c r="C166" t="str">
        <v>Yes</v>
      </c>
      <c r="D166" t="str">
        <v>No</v>
      </c>
      <c r="E166" t="str">
        <v>Mix</v>
      </c>
      <c r="F166">
        <v>25</v>
      </c>
      <c r="G166" t="str">
        <v>MS</v>
      </c>
      <c r="H166">
        <v>18.75</v>
      </c>
      <c r="I166">
        <v>0</v>
      </c>
      <c r="J166">
        <v>1</v>
      </c>
      <c r="K166">
        <v>0</v>
      </c>
    </row>
    <row r="167" spans="1:11" x14ac:dyDescent="0.35">
      <c r="A167">
        <v>53</v>
      </c>
      <c r="B167" t="str">
        <v>Yes</v>
      </c>
      <c r="C167" t="str">
        <v>Yes</v>
      </c>
      <c r="D167" t="str">
        <v>No</v>
      </c>
      <c r="E167" t="str">
        <v>Restricted</v>
      </c>
      <c r="F167">
        <v>10</v>
      </c>
      <c r="G167" t="str">
        <v>MS</v>
      </c>
      <c r="H167">
        <v>7.5</v>
      </c>
      <c r="I167">
        <v>0</v>
      </c>
      <c r="J167">
        <v>1</v>
      </c>
      <c r="K167" t="str">
        <v>multiple small restricted spore colonies some with limited IR but flecking.</v>
      </c>
    </row>
    <row r="168" spans="1:11" x14ac:dyDescent="0.35">
      <c r="A168">
        <v>263</v>
      </c>
      <c r="B168" t="str">
        <v>No</v>
      </c>
      <c r="C168" t="str">
        <v>Yes</v>
      </c>
      <c r="D168" t="str">
        <v>No</v>
      </c>
      <c r="E168" t="str">
        <v>Restricted</v>
      </c>
      <c r="F168">
        <v>5</v>
      </c>
      <c r="G168" t="str">
        <v>MS</v>
      </c>
      <c r="H168">
        <v>3.75</v>
      </c>
      <c r="I168">
        <v>0</v>
      </c>
      <c r="J168">
        <v>1</v>
      </c>
      <c r="K168" t="str">
        <v>Multiple limited colonies with limited IR</v>
      </c>
    </row>
    <row r="169" spans="1:11" x14ac:dyDescent="0.35">
      <c r="A169">
        <v>209</v>
      </c>
      <c r="B169" t="str">
        <v>Yes</v>
      </c>
      <c r="C169" t="str">
        <v>Yes</v>
      </c>
      <c r="D169" t="str">
        <v>No</v>
      </c>
      <c r="E169" t="str">
        <v>Restricted</v>
      </c>
      <c r="F169">
        <v>15</v>
      </c>
      <c r="G169" t="str">
        <v>MS</v>
      </c>
      <c r="H169">
        <v>11.25</v>
      </c>
      <c r="I169">
        <v>0</v>
      </c>
      <c r="J169">
        <v>1</v>
      </c>
      <c r="K169">
        <v>0</v>
      </c>
    </row>
    <row r="170" spans="1:11" x14ac:dyDescent="0.35">
      <c r="A170">
        <v>334</v>
      </c>
      <c r="B170" t="str">
        <v>Yes</v>
      </c>
      <c r="C170" t="str">
        <v>Yes</v>
      </c>
      <c r="D170" t="str">
        <v>No</v>
      </c>
      <c r="E170" t="str">
        <v>Restricted</v>
      </c>
      <c r="F170">
        <v>10</v>
      </c>
      <c r="G170" t="str">
        <v>MS</v>
      </c>
      <c r="H170">
        <v>7.5</v>
      </c>
      <c r="I170">
        <v>0</v>
      </c>
      <c r="J170">
        <v>1</v>
      </c>
      <c r="K170">
        <v>0</v>
      </c>
    </row>
    <row r="171" spans="1:11" x14ac:dyDescent="0.35">
      <c r="A171">
        <v>265</v>
      </c>
      <c r="B171" t="str">
        <v>Yes</v>
      </c>
      <c r="C171" t="str">
        <v>Yes</v>
      </c>
      <c r="D171" t="str">
        <v>No</v>
      </c>
      <c r="E171" t="str">
        <v>Unrestricted</v>
      </c>
      <c r="F171">
        <v>15</v>
      </c>
      <c r="G171" t="str">
        <v>MS</v>
      </c>
      <c r="H171">
        <v>11.25</v>
      </c>
      <c r="I171">
        <v>0</v>
      </c>
      <c r="J171">
        <v>1</v>
      </c>
      <c r="K171" t="str">
        <v>Single unrestricted pustule</v>
      </c>
    </row>
    <row r="172" spans="1:11" x14ac:dyDescent="0.35">
      <c r="A172">
        <v>205</v>
      </c>
      <c r="B172" t="str">
        <v>NA</v>
      </c>
      <c r="C172" t="str">
        <v>NA</v>
      </c>
      <c r="D172" t="str">
        <v>NA</v>
      </c>
      <c r="E172" t="str">
        <v>NA</v>
      </c>
      <c r="F172" t="str">
        <v>NA</v>
      </c>
      <c r="G172" t="str">
        <v>NA</v>
      </c>
      <c r="H172" t="e">
        <v>#N/A</v>
      </c>
      <c r="I172">
        <v>1</v>
      </c>
      <c r="J172">
        <v>1</v>
      </c>
      <c r="K172" t="str">
        <v>Top leaf consumed by mealies. Reinoculate</v>
      </c>
    </row>
    <row r="173" spans="1:11" x14ac:dyDescent="0.35">
      <c r="A173">
        <v>611</v>
      </c>
      <c r="B173" t="str">
        <v>NA</v>
      </c>
      <c r="C173" t="str">
        <v>NA</v>
      </c>
      <c r="D173" t="str">
        <v>NA</v>
      </c>
      <c r="E173" t="str">
        <v>NA</v>
      </c>
      <c r="F173" t="str">
        <v>NA</v>
      </c>
      <c r="G173" t="str">
        <v>NA</v>
      </c>
      <c r="H173" t="e">
        <v>#N/A</v>
      </c>
      <c r="I173">
        <v>1</v>
      </c>
      <c r="J173">
        <v>1</v>
      </c>
      <c r="K173" t="str">
        <v>Missing tip</v>
      </c>
    </row>
    <row r="174" spans="1:11" x14ac:dyDescent="0.35">
      <c r="A174">
        <v>505</v>
      </c>
      <c r="B174" t="str">
        <v>No</v>
      </c>
      <c r="C174" t="str">
        <v>No</v>
      </c>
      <c r="D174" t="str">
        <v>No</v>
      </c>
      <c r="E174" t="str">
        <v>No</v>
      </c>
      <c r="F174">
        <v>5</v>
      </c>
      <c r="G174" t="str">
        <v>R</v>
      </c>
      <c r="H174">
        <v>1.25</v>
      </c>
      <c r="I174">
        <v>0</v>
      </c>
      <c r="J174">
        <v>0</v>
      </c>
      <c r="K174">
        <v>0</v>
      </c>
    </row>
    <row r="175" spans="1:11" x14ac:dyDescent="0.35">
      <c r="A175">
        <v>14</v>
      </c>
      <c r="B175" t="str">
        <v>Yes</v>
      </c>
      <c r="C175" t="str">
        <v>No</v>
      </c>
      <c r="D175" t="str">
        <v>No</v>
      </c>
      <c r="E175" t="str">
        <v>No</v>
      </c>
      <c r="F175">
        <v>5</v>
      </c>
      <c r="G175" t="str">
        <v>R</v>
      </c>
      <c r="H175">
        <v>1.25</v>
      </c>
      <c r="I175">
        <v>0</v>
      </c>
      <c r="J175">
        <v>0</v>
      </c>
      <c r="K175">
        <v>0</v>
      </c>
    </row>
    <row r="176" spans="1:11" x14ac:dyDescent="0.35">
      <c r="A176">
        <v>36</v>
      </c>
      <c r="B176" t="str">
        <v>Yes</v>
      </c>
      <c r="C176" t="str">
        <v>No</v>
      </c>
      <c r="D176" t="str">
        <v>No</v>
      </c>
      <c r="E176" t="str">
        <v>No</v>
      </c>
      <c r="F176">
        <v>5</v>
      </c>
      <c r="G176" t="str">
        <v>R</v>
      </c>
      <c r="H176">
        <v>1.25</v>
      </c>
      <c r="I176">
        <v>0</v>
      </c>
      <c r="J176">
        <v>0</v>
      </c>
      <c r="K176">
        <v>0</v>
      </c>
    </row>
    <row r="177" spans="1:11" x14ac:dyDescent="0.35">
      <c r="A177">
        <v>40</v>
      </c>
      <c r="B177" t="str">
        <v>Yes</v>
      </c>
      <c r="C177" t="str">
        <v>No</v>
      </c>
      <c r="D177" t="str">
        <v>No</v>
      </c>
      <c r="E177" t="str">
        <v>No</v>
      </c>
      <c r="F177">
        <v>5</v>
      </c>
      <c r="G177" t="str">
        <v>R</v>
      </c>
      <c r="H177">
        <v>1.25</v>
      </c>
      <c r="I177">
        <v>0</v>
      </c>
      <c r="J177">
        <v>0</v>
      </c>
      <c r="K177">
        <v>0</v>
      </c>
    </row>
    <row r="178" spans="1:11" x14ac:dyDescent="0.35">
      <c r="A178">
        <v>54</v>
      </c>
      <c r="B178" t="str">
        <v>Yes</v>
      </c>
      <c r="C178" t="str">
        <v>No</v>
      </c>
      <c r="D178" t="str">
        <v>No</v>
      </c>
      <c r="E178" t="str">
        <v>No</v>
      </c>
      <c r="F178">
        <v>5</v>
      </c>
      <c r="G178" t="str">
        <v>R</v>
      </c>
      <c r="H178">
        <v>1.25</v>
      </c>
      <c r="I178">
        <v>0</v>
      </c>
      <c r="J178">
        <v>0</v>
      </c>
      <c r="K178">
        <v>0</v>
      </c>
    </row>
    <row r="179" spans="1:11" x14ac:dyDescent="0.35">
      <c r="A179">
        <v>55</v>
      </c>
      <c r="B179" t="str">
        <v>Yes</v>
      </c>
      <c r="C179" t="str">
        <v>No</v>
      </c>
      <c r="D179" t="str">
        <v>No</v>
      </c>
      <c r="E179" t="str">
        <v>No</v>
      </c>
      <c r="F179">
        <v>5</v>
      </c>
      <c r="G179" t="str">
        <v>R</v>
      </c>
      <c r="H179">
        <v>1.25</v>
      </c>
      <c r="I179">
        <v>0</v>
      </c>
      <c r="J179">
        <v>0</v>
      </c>
      <c r="K179">
        <v>0</v>
      </c>
    </row>
    <row r="180" spans="1:11" x14ac:dyDescent="0.35">
      <c r="A180">
        <v>65</v>
      </c>
      <c r="B180" t="str">
        <v>Yes</v>
      </c>
      <c r="C180" t="str">
        <v>No</v>
      </c>
      <c r="D180" t="str">
        <v>No</v>
      </c>
      <c r="E180" t="str">
        <v>No</v>
      </c>
      <c r="F180">
        <v>5</v>
      </c>
      <c r="G180" t="str">
        <v>R</v>
      </c>
      <c r="H180">
        <v>1.25</v>
      </c>
      <c r="I180">
        <v>0</v>
      </c>
      <c r="J180">
        <v>0</v>
      </c>
      <c r="K180">
        <v>0</v>
      </c>
    </row>
    <row r="181" spans="1:11" x14ac:dyDescent="0.35">
      <c r="A181">
        <v>90</v>
      </c>
      <c r="B181" t="str">
        <v>Yes</v>
      </c>
      <c r="C181" t="str">
        <v>No</v>
      </c>
      <c r="D181" t="str">
        <v>No</v>
      </c>
      <c r="E181" t="str">
        <v>No</v>
      </c>
      <c r="F181">
        <v>5</v>
      </c>
      <c r="G181" t="str">
        <v>R</v>
      </c>
      <c r="H181">
        <v>1.25</v>
      </c>
      <c r="I181">
        <v>0</v>
      </c>
      <c r="J181">
        <v>0</v>
      </c>
      <c r="K181">
        <v>0</v>
      </c>
    </row>
    <row r="182" spans="1:11" x14ac:dyDescent="0.35">
      <c r="A182">
        <v>128</v>
      </c>
      <c r="B182" t="str">
        <v>Yes</v>
      </c>
      <c r="C182" t="str">
        <v>No</v>
      </c>
      <c r="D182" t="str">
        <v>No</v>
      </c>
      <c r="E182" t="str">
        <v>No</v>
      </c>
      <c r="F182">
        <v>5</v>
      </c>
      <c r="G182" t="str">
        <v>R</v>
      </c>
      <c r="H182">
        <v>1.25</v>
      </c>
      <c r="I182">
        <v>0</v>
      </c>
      <c r="J182">
        <v>0</v>
      </c>
      <c r="K182">
        <v>0</v>
      </c>
    </row>
    <row r="183" spans="1:11" x14ac:dyDescent="0.35">
      <c r="A183">
        <v>164</v>
      </c>
      <c r="B183" t="str">
        <v>Yes</v>
      </c>
      <c r="C183" t="str">
        <v>No</v>
      </c>
      <c r="D183" t="str">
        <v>No</v>
      </c>
      <c r="E183" t="str">
        <v>No</v>
      </c>
      <c r="F183">
        <v>5</v>
      </c>
      <c r="G183" t="str">
        <v>R</v>
      </c>
      <c r="H183">
        <v>1.25</v>
      </c>
      <c r="I183">
        <v>0</v>
      </c>
      <c r="J183">
        <v>0</v>
      </c>
      <c r="K183">
        <v>0</v>
      </c>
    </row>
    <row r="184" spans="1:11" x14ac:dyDescent="0.35">
      <c r="A184">
        <v>211</v>
      </c>
      <c r="B184" t="str">
        <v>Yes</v>
      </c>
      <c r="C184" t="str">
        <v>No</v>
      </c>
      <c r="D184" t="str">
        <v>No</v>
      </c>
      <c r="E184" t="str">
        <v>No</v>
      </c>
      <c r="F184">
        <v>5</v>
      </c>
      <c r="G184" t="str">
        <v>R</v>
      </c>
      <c r="H184">
        <v>1.25</v>
      </c>
      <c r="I184">
        <v>0</v>
      </c>
      <c r="J184">
        <v>0</v>
      </c>
      <c r="K184">
        <v>0</v>
      </c>
    </row>
    <row r="185" spans="1:11" x14ac:dyDescent="0.35">
      <c r="A185">
        <v>223</v>
      </c>
      <c r="B185" t="str">
        <v>Yes</v>
      </c>
      <c r="C185" t="str">
        <v>No</v>
      </c>
      <c r="D185" t="str">
        <v>No</v>
      </c>
      <c r="E185" t="str">
        <v>No</v>
      </c>
      <c r="F185">
        <v>5</v>
      </c>
      <c r="G185" t="str">
        <v>R</v>
      </c>
      <c r="H185">
        <v>1.25</v>
      </c>
      <c r="I185">
        <v>0</v>
      </c>
      <c r="J185">
        <v>0</v>
      </c>
      <c r="K185">
        <v>0</v>
      </c>
    </row>
    <row r="186" spans="1:11" x14ac:dyDescent="0.35">
      <c r="A186">
        <v>320</v>
      </c>
      <c r="B186" t="str">
        <v>Yes</v>
      </c>
      <c r="C186" t="str">
        <v>No</v>
      </c>
      <c r="D186" t="str">
        <v>No</v>
      </c>
      <c r="E186" t="str">
        <v>No</v>
      </c>
      <c r="F186">
        <v>5</v>
      </c>
      <c r="G186" t="str">
        <v>R</v>
      </c>
      <c r="H186">
        <v>1.25</v>
      </c>
      <c r="I186">
        <v>0</v>
      </c>
      <c r="J186">
        <v>0</v>
      </c>
      <c r="K186">
        <v>0</v>
      </c>
    </row>
    <row r="187" spans="1:11" x14ac:dyDescent="0.35">
      <c r="A187">
        <v>356</v>
      </c>
      <c r="B187" t="str">
        <v>Yes</v>
      </c>
      <c r="C187" t="str">
        <v>No</v>
      </c>
      <c r="D187" t="str">
        <v>No</v>
      </c>
      <c r="E187" t="str">
        <v>No</v>
      </c>
      <c r="F187">
        <v>5</v>
      </c>
      <c r="G187" t="str">
        <v>R</v>
      </c>
      <c r="H187">
        <v>1.25</v>
      </c>
      <c r="I187">
        <v>0</v>
      </c>
      <c r="J187">
        <v>0</v>
      </c>
      <c r="K187">
        <v>0</v>
      </c>
    </row>
    <row r="188" spans="1:11" x14ac:dyDescent="0.35">
      <c r="A188">
        <v>462</v>
      </c>
      <c r="B188" t="str">
        <v>Yes</v>
      </c>
      <c r="C188" t="str">
        <v>No</v>
      </c>
      <c r="D188" t="str">
        <v>No</v>
      </c>
      <c r="E188" t="str">
        <v>No</v>
      </c>
      <c r="F188">
        <v>5</v>
      </c>
      <c r="G188" t="str">
        <v>R</v>
      </c>
      <c r="H188">
        <v>1.25</v>
      </c>
      <c r="I188">
        <v>0</v>
      </c>
      <c r="J188">
        <v>0</v>
      </c>
      <c r="K188">
        <v>0</v>
      </c>
    </row>
    <row r="189" spans="1:11" x14ac:dyDescent="0.35">
      <c r="A189">
        <v>539</v>
      </c>
      <c r="B189" t="str">
        <v>Yes</v>
      </c>
      <c r="C189" t="str">
        <v>No</v>
      </c>
      <c r="D189" t="str">
        <v>No</v>
      </c>
      <c r="E189" t="str">
        <v>No</v>
      </c>
      <c r="F189">
        <v>5</v>
      </c>
      <c r="G189" t="str">
        <v>R</v>
      </c>
      <c r="H189">
        <v>1.25</v>
      </c>
      <c r="I189">
        <v>0</v>
      </c>
      <c r="J189">
        <v>0</v>
      </c>
      <c r="K189">
        <v>0</v>
      </c>
    </row>
    <row r="190" spans="1:11" x14ac:dyDescent="0.35">
      <c r="A190">
        <v>540</v>
      </c>
      <c r="B190" t="str">
        <v>Yes</v>
      </c>
      <c r="C190" t="str">
        <v>No</v>
      </c>
      <c r="D190" t="str">
        <v>No</v>
      </c>
      <c r="E190" t="str">
        <v>No</v>
      </c>
      <c r="F190">
        <v>5</v>
      </c>
      <c r="G190" t="str">
        <v>R</v>
      </c>
      <c r="H190">
        <v>1.25</v>
      </c>
      <c r="I190">
        <v>0</v>
      </c>
      <c r="J190">
        <v>0</v>
      </c>
      <c r="K190">
        <v>0</v>
      </c>
    </row>
    <row r="191" spans="1:11" x14ac:dyDescent="0.35">
      <c r="A191">
        <v>558</v>
      </c>
      <c r="B191" t="str">
        <v>Yes</v>
      </c>
      <c r="C191" t="str">
        <v>No</v>
      </c>
      <c r="D191" t="str">
        <v>No</v>
      </c>
      <c r="E191" t="str">
        <v>No</v>
      </c>
      <c r="F191">
        <v>5</v>
      </c>
      <c r="G191" t="str">
        <v>R</v>
      </c>
      <c r="H191">
        <v>1.25</v>
      </c>
      <c r="I191">
        <v>0</v>
      </c>
      <c r="J191">
        <v>0</v>
      </c>
      <c r="K191">
        <v>0</v>
      </c>
    </row>
    <row r="192" spans="1:11" x14ac:dyDescent="0.35">
      <c r="A192">
        <v>565</v>
      </c>
      <c r="B192" t="str">
        <v>Yes</v>
      </c>
      <c r="C192" t="str">
        <v>No</v>
      </c>
      <c r="D192" t="str">
        <v>No</v>
      </c>
      <c r="E192" t="str">
        <v>No</v>
      </c>
      <c r="F192">
        <v>5</v>
      </c>
      <c r="G192" t="str">
        <v>R</v>
      </c>
      <c r="H192">
        <v>1.25</v>
      </c>
      <c r="I192">
        <v>0</v>
      </c>
      <c r="J192">
        <v>0</v>
      </c>
      <c r="K192">
        <v>0</v>
      </c>
    </row>
    <row r="193" spans="1:11" x14ac:dyDescent="0.35">
      <c r="A193">
        <v>577</v>
      </c>
      <c r="B193" t="str">
        <v>Yes</v>
      </c>
      <c r="C193" t="str">
        <v>No</v>
      </c>
      <c r="D193" t="str">
        <v>No</v>
      </c>
      <c r="E193" t="str">
        <v>No</v>
      </c>
      <c r="F193">
        <v>5</v>
      </c>
      <c r="G193" t="str">
        <v>R</v>
      </c>
      <c r="H193">
        <v>1.25</v>
      </c>
      <c r="I193">
        <v>0</v>
      </c>
      <c r="J193">
        <v>0</v>
      </c>
      <c r="K193">
        <v>0</v>
      </c>
    </row>
    <row r="194" spans="1:11" x14ac:dyDescent="0.35">
      <c r="A194">
        <v>580</v>
      </c>
      <c r="B194" t="str">
        <v>Yes</v>
      </c>
      <c r="C194" t="str">
        <v>No</v>
      </c>
      <c r="D194" t="str">
        <v>No</v>
      </c>
      <c r="E194" t="str">
        <v>No</v>
      </c>
      <c r="F194">
        <v>5</v>
      </c>
      <c r="G194" t="str">
        <v>R</v>
      </c>
      <c r="H194">
        <v>1.25</v>
      </c>
      <c r="I194">
        <v>0</v>
      </c>
      <c r="J194">
        <v>0</v>
      </c>
      <c r="K194">
        <v>0</v>
      </c>
    </row>
    <row r="195" spans="1:11" x14ac:dyDescent="0.35">
      <c r="A195">
        <v>581</v>
      </c>
      <c r="B195" t="str">
        <v>Yes</v>
      </c>
      <c r="C195" t="str">
        <v>No</v>
      </c>
      <c r="D195" t="str">
        <v>No</v>
      </c>
      <c r="E195" t="str">
        <v>No</v>
      </c>
      <c r="F195">
        <v>5</v>
      </c>
      <c r="G195" t="str">
        <v>R</v>
      </c>
      <c r="H195">
        <v>1.25</v>
      </c>
      <c r="I195">
        <v>0</v>
      </c>
      <c r="J195">
        <v>0</v>
      </c>
      <c r="K195">
        <v>0</v>
      </c>
    </row>
    <row r="196" spans="1:11" x14ac:dyDescent="0.35">
      <c r="A196">
        <v>584</v>
      </c>
      <c r="B196" t="str">
        <v>Yes</v>
      </c>
      <c r="C196" t="str">
        <v>No</v>
      </c>
      <c r="D196" t="str">
        <v>No</v>
      </c>
      <c r="E196" t="str">
        <v>No</v>
      </c>
      <c r="F196">
        <v>5</v>
      </c>
      <c r="G196" t="str">
        <v>R</v>
      </c>
      <c r="H196">
        <v>1.25</v>
      </c>
      <c r="I196">
        <v>0</v>
      </c>
      <c r="J196">
        <v>0</v>
      </c>
      <c r="K196">
        <v>0</v>
      </c>
    </row>
    <row r="197" spans="1:11" x14ac:dyDescent="0.35">
      <c r="A197">
        <v>585</v>
      </c>
      <c r="B197" t="str">
        <v>Yes</v>
      </c>
      <c r="C197" t="str">
        <v>No</v>
      </c>
      <c r="D197" t="str">
        <v>No</v>
      </c>
      <c r="E197" t="str">
        <v>No</v>
      </c>
      <c r="F197">
        <v>5</v>
      </c>
      <c r="G197" t="str">
        <v>R</v>
      </c>
      <c r="H197">
        <v>1.25</v>
      </c>
      <c r="I197">
        <v>0</v>
      </c>
      <c r="J197">
        <v>0</v>
      </c>
      <c r="K197">
        <v>0</v>
      </c>
    </row>
    <row r="198" spans="1:11" x14ac:dyDescent="0.35">
      <c r="A198">
        <v>592</v>
      </c>
      <c r="B198" t="str">
        <v>Yes</v>
      </c>
      <c r="C198" t="str">
        <v>No</v>
      </c>
      <c r="D198" t="str">
        <v>No</v>
      </c>
      <c r="E198" t="str">
        <v>No</v>
      </c>
      <c r="F198">
        <v>5</v>
      </c>
      <c r="G198" t="str">
        <v>R</v>
      </c>
      <c r="H198">
        <v>1.25</v>
      </c>
      <c r="I198">
        <v>0</v>
      </c>
      <c r="J198">
        <v>0</v>
      </c>
      <c r="K198">
        <v>0</v>
      </c>
    </row>
    <row r="199" spans="1:11" x14ac:dyDescent="0.35">
      <c r="A199">
        <v>599</v>
      </c>
      <c r="B199" t="str">
        <v>Yes</v>
      </c>
      <c r="C199" t="str">
        <v>No</v>
      </c>
      <c r="D199" t="str">
        <v>No</v>
      </c>
      <c r="E199" t="str">
        <v>No</v>
      </c>
      <c r="F199">
        <v>5</v>
      </c>
      <c r="G199" t="str">
        <v>R</v>
      </c>
      <c r="H199">
        <v>1.25</v>
      </c>
      <c r="I199">
        <v>0</v>
      </c>
      <c r="J199">
        <v>0</v>
      </c>
      <c r="K199">
        <v>0</v>
      </c>
    </row>
    <row r="200" spans="1:11" x14ac:dyDescent="0.35">
      <c r="A200">
        <v>616</v>
      </c>
      <c r="B200" t="str">
        <v>Yes</v>
      </c>
      <c r="C200" t="str">
        <v>No</v>
      </c>
      <c r="D200" t="str">
        <v>No</v>
      </c>
      <c r="E200" t="str">
        <v>No</v>
      </c>
      <c r="F200">
        <v>5</v>
      </c>
      <c r="G200" t="str">
        <v>R</v>
      </c>
      <c r="H200">
        <v>1.25</v>
      </c>
      <c r="I200">
        <v>0</v>
      </c>
      <c r="J200">
        <v>0</v>
      </c>
      <c r="K200">
        <v>0</v>
      </c>
    </row>
    <row r="201" spans="1:11" x14ac:dyDescent="0.35">
      <c r="A201">
        <v>634</v>
      </c>
      <c r="B201" t="str">
        <v>Yes</v>
      </c>
      <c r="C201" t="str">
        <v>No</v>
      </c>
      <c r="D201" t="str">
        <v>No</v>
      </c>
      <c r="E201" t="str">
        <v>No</v>
      </c>
      <c r="F201">
        <v>5</v>
      </c>
      <c r="G201" t="str">
        <v>R</v>
      </c>
      <c r="H201">
        <v>1.25</v>
      </c>
      <c r="I201">
        <v>0</v>
      </c>
      <c r="J201">
        <v>0</v>
      </c>
      <c r="K201">
        <v>0</v>
      </c>
    </row>
    <row r="202" spans="1:11" x14ac:dyDescent="0.35">
      <c r="A202">
        <v>636</v>
      </c>
      <c r="B202" t="str">
        <v>Yes</v>
      </c>
      <c r="C202" t="str">
        <v>No</v>
      </c>
      <c r="D202" t="str">
        <v>No</v>
      </c>
      <c r="E202" t="str">
        <v>No</v>
      </c>
      <c r="F202">
        <v>5</v>
      </c>
      <c r="G202" t="str">
        <v>R</v>
      </c>
      <c r="H202">
        <v>1.25</v>
      </c>
      <c r="I202">
        <v>0</v>
      </c>
      <c r="J202">
        <v>0</v>
      </c>
      <c r="K202">
        <v>0</v>
      </c>
    </row>
    <row r="203" spans="1:11" x14ac:dyDescent="0.35">
      <c r="A203">
        <v>654</v>
      </c>
      <c r="B203" t="str">
        <v>Yes</v>
      </c>
      <c r="C203" t="str">
        <v>No</v>
      </c>
      <c r="D203" t="str">
        <v>No</v>
      </c>
      <c r="E203" t="str">
        <v>No</v>
      </c>
      <c r="F203">
        <v>5</v>
      </c>
      <c r="G203" t="str">
        <v>R</v>
      </c>
      <c r="H203">
        <v>1.25</v>
      </c>
      <c r="I203">
        <v>0</v>
      </c>
      <c r="J203">
        <v>0</v>
      </c>
      <c r="K203">
        <v>0</v>
      </c>
    </row>
    <row r="204" spans="1:11" x14ac:dyDescent="0.35">
      <c r="A204">
        <v>663</v>
      </c>
      <c r="B204" t="str">
        <v>Yes</v>
      </c>
      <c r="C204" t="str">
        <v>No</v>
      </c>
      <c r="D204" t="str">
        <v>No</v>
      </c>
      <c r="E204" t="str">
        <v>No</v>
      </c>
      <c r="F204">
        <v>5</v>
      </c>
      <c r="G204" t="str">
        <v>R</v>
      </c>
      <c r="H204">
        <v>1.25</v>
      </c>
      <c r="I204">
        <v>0</v>
      </c>
      <c r="J204">
        <v>0</v>
      </c>
      <c r="K204">
        <v>0</v>
      </c>
    </row>
    <row r="205" spans="1:11" x14ac:dyDescent="0.35">
      <c r="A205">
        <v>688</v>
      </c>
      <c r="B205" t="str">
        <v>Yes</v>
      </c>
      <c r="C205" t="str">
        <v>No</v>
      </c>
      <c r="D205" t="str">
        <v>No</v>
      </c>
      <c r="E205" t="str">
        <v>No</v>
      </c>
      <c r="F205">
        <v>5</v>
      </c>
      <c r="G205" t="str">
        <v>R</v>
      </c>
      <c r="H205">
        <v>1.25</v>
      </c>
      <c r="I205">
        <v>0</v>
      </c>
      <c r="J205">
        <v>0</v>
      </c>
      <c r="K205">
        <v>0</v>
      </c>
    </row>
    <row r="206" spans="1:11" x14ac:dyDescent="0.35">
      <c r="A206">
        <v>695</v>
      </c>
      <c r="B206" t="str">
        <v>Yes</v>
      </c>
      <c r="C206" t="str">
        <v>No</v>
      </c>
      <c r="D206" t="str">
        <v>No</v>
      </c>
      <c r="E206" t="str">
        <v>No</v>
      </c>
      <c r="F206">
        <v>5</v>
      </c>
      <c r="G206" t="str">
        <v>R</v>
      </c>
      <c r="H206">
        <v>1.25</v>
      </c>
      <c r="I206">
        <v>0</v>
      </c>
      <c r="J206">
        <v>0</v>
      </c>
      <c r="K206">
        <v>0</v>
      </c>
    </row>
    <row r="207" spans="1:11" x14ac:dyDescent="0.35">
      <c r="A207">
        <v>707</v>
      </c>
      <c r="B207" t="str">
        <v>Yes</v>
      </c>
      <c r="C207" t="str">
        <v>No</v>
      </c>
      <c r="D207" t="str">
        <v>No</v>
      </c>
      <c r="E207" t="str">
        <v>No</v>
      </c>
      <c r="F207">
        <v>10</v>
      </c>
      <c r="G207" t="str">
        <v>R</v>
      </c>
      <c r="H207">
        <v>2.5</v>
      </c>
      <c r="I207">
        <v>0</v>
      </c>
      <c r="J207">
        <v>0</v>
      </c>
      <c r="K207">
        <v>0</v>
      </c>
    </row>
    <row r="208" spans="1:11" x14ac:dyDescent="0.35">
      <c r="A208">
        <v>711</v>
      </c>
      <c r="B208" t="str">
        <v>Yes</v>
      </c>
      <c r="C208" t="str">
        <v>No</v>
      </c>
      <c r="D208" t="str">
        <v>No</v>
      </c>
      <c r="E208" t="str">
        <v>No</v>
      </c>
      <c r="F208">
        <v>5</v>
      </c>
      <c r="G208" t="str">
        <v>R</v>
      </c>
      <c r="H208">
        <v>1.25</v>
      </c>
      <c r="I208">
        <v>0</v>
      </c>
      <c r="J208">
        <v>0</v>
      </c>
      <c r="K208">
        <v>0</v>
      </c>
    </row>
    <row r="209" spans="1:11" x14ac:dyDescent="0.35">
      <c r="A209">
        <v>728</v>
      </c>
      <c r="B209" t="str">
        <v>Yes</v>
      </c>
      <c r="C209" t="str">
        <v>No</v>
      </c>
      <c r="D209" t="str">
        <v>No</v>
      </c>
      <c r="E209" t="str">
        <v>No</v>
      </c>
      <c r="F209">
        <v>5</v>
      </c>
      <c r="G209" t="str">
        <v>R</v>
      </c>
      <c r="H209">
        <v>1.25</v>
      </c>
      <c r="I209">
        <v>0</v>
      </c>
      <c r="J209">
        <v>0</v>
      </c>
      <c r="K209">
        <v>0</v>
      </c>
    </row>
    <row r="210" spans="1:11" x14ac:dyDescent="0.35">
      <c r="A210">
        <v>732</v>
      </c>
      <c r="B210" t="str">
        <v>Yes</v>
      </c>
      <c r="C210" t="str">
        <v>No</v>
      </c>
      <c r="D210" t="str">
        <v>No</v>
      </c>
      <c r="E210" t="str">
        <v>No</v>
      </c>
      <c r="F210">
        <v>5</v>
      </c>
      <c r="G210" t="str">
        <v>R</v>
      </c>
      <c r="H210">
        <v>1.25</v>
      </c>
      <c r="I210">
        <v>0</v>
      </c>
      <c r="J210">
        <v>0</v>
      </c>
      <c r="K210">
        <v>0</v>
      </c>
    </row>
    <row r="211" spans="1:11" x14ac:dyDescent="0.35">
      <c r="A211">
        <v>748</v>
      </c>
      <c r="B211" t="str">
        <v>Yes</v>
      </c>
      <c r="C211" t="str">
        <v>No</v>
      </c>
      <c r="D211" t="str">
        <v>No</v>
      </c>
      <c r="E211" t="str">
        <v>No</v>
      </c>
      <c r="F211">
        <v>5</v>
      </c>
      <c r="G211" t="str">
        <v>R</v>
      </c>
      <c r="H211">
        <v>1.25</v>
      </c>
      <c r="I211">
        <v>0</v>
      </c>
      <c r="J211">
        <v>0</v>
      </c>
      <c r="K211">
        <v>0</v>
      </c>
    </row>
    <row r="212" spans="1:11" x14ac:dyDescent="0.35">
      <c r="A212">
        <v>749</v>
      </c>
      <c r="B212" t="str">
        <v>Yes</v>
      </c>
      <c r="C212" t="str">
        <v>No</v>
      </c>
      <c r="D212" t="str">
        <v>No</v>
      </c>
      <c r="E212" t="str">
        <v>No</v>
      </c>
      <c r="F212">
        <v>5</v>
      </c>
      <c r="G212" t="str">
        <v>R</v>
      </c>
      <c r="H212">
        <v>1.25</v>
      </c>
      <c r="I212">
        <v>0</v>
      </c>
      <c r="J212">
        <v>0</v>
      </c>
      <c r="K212">
        <v>0</v>
      </c>
    </row>
    <row r="213" spans="1:11" x14ac:dyDescent="0.35">
      <c r="A213">
        <v>750</v>
      </c>
      <c r="B213" t="str">
        <v>Yes</v>
      </c>
      <c r="C213" t="str">
        <v>No</v>
      </c>
      <c r="D213" t="str">
        <v>No</v>
      </c>
      <c r="E213" t="str">
        <v>No</v>
      </c>
      <c r="F213">
        <v>5</v>
      </c>
      <c r="G213" t="str">
        <v>R</v>
      </c>
      <c r="H213">
        <v>1.25</v>
      </c>
      <c r="I213">
        <v>0</v>
      </c>
      <c r="J213">
        <v>0</v>
      </c>
      <c r="K213">
        <v>0</v>
      </c>
    </row>
    <row r="214" spans="1:11" x14ac:dyDescent="0.35">
      <c r="A214">
        <v>1</v>
      </c>
      <c r="B214" t="str">
        <v>No</v>
      </c>
      <c r="C214" t="str">
        <v>Yes</v>
      </c>
      <c r="D214" t="str">
        <v>No</v>
      </c>
      <c r="E214" t="str">
        <v>No</v>
      </c>
      <c r="F214">
        <v>5</v>
      </c>
      <c r="G214" t="str">
        <v>R</v>
      </c>
      <c r="H214">
        <v>1.25</v>
      </c>
      <c r="I214">
        <v>0</v>
      </c>
      <c r="J214">
        <v>0</v>
      </c>
      <c r="K214" t="str">
        <v>Mealy bug presence on MR susceptible leaves</v>
      </c>
    </row>
    <row r="215" spans="1:11" x14ac:dyDescent="0.35">
      <c r="A215">
        <v>11</v>
      </c>
      <c r="B215" t="str">
        <v>No</v>
      </c>
      <c r="C215" t="str">
        <v>Yes</v>
      </c>
      <c r="D215" t="str">
        <v>No</v>
      </c>
      <c r="E215" t="str">
        <v>No</v>
      </c>
      <c r="F215">
        <v>5</v>
      </c>
      <c r="G215" t="str">
        <v>R</v>
      </c>
      <c r="H215">
        <v>1.25</v>
      </c>
      <c r="I215">
        <v>0</v>
      </c>
      <c r="J215">
        <v>0</v>
      </c>
      <c r="K215">
        <v>0</v>
      </c>
    </row>
    <row r="216" spans="1:11" x14ac:dyDescent="0.35">
      <c r="A216">
        <v>12</v>
      </c>
      <c r="B216" t="str">
        <v>No</v>
      </c>
      <c r="C216" t="str">
        <v>Yes</v>
      </c>
      <c r="D216" t="str">
        <v>No</v>
      </c>
      <c r="E216" t="str">
        <v>No</v>
      </c>
      <c r="F216">
        <v>5</v>
      </c>
      <c r="G216" t="str">
        <v>R</v>
      </c>
      <c r="H216">
        <v>1.25</v>
      </c>
      <c r="I216">
        <v>0</v>
      </c>
      <c r="J216">
        <v>0</v>
      </c>
      <c r="K216">
        <v>0</v>
      </c>
    </row>
    <row r="217" spans="1:11" x14ac:dyDescent="0.35">
      <c r="A217">
        <v>19</v>
      </c>
      <c r="B217" t="str">
        <v>No</v>
      </c>
      <c r="C217" t="str">
        <v>Yes</v>
      </c>
      <c r="D217" t="str">
        <v>No</v>
      </c>
      <c r="E217" t="str">
        <v>No</v>
      </c>
      <c r="F217">
        <v>10</v>
      </c>
      <c r="G217" t="str">
        <v>R</v>
      </c>
      <c r="H217">
        <v>2.5</v>
      </c>
      <c r="I217">
        <v>0</v>
      </c>
      <c r="J217">
        <v>0</v>
      </c>
      <c r="K217">
        <v>0</v>
      </c>
    </row>
    <row r="218" spans="1:11" x14ac:dyDescent="0.35">
      <c r="A218">
        <v>34</v>
      </c>
      <c r="B218" t="str">
        <v>No</v>
      </c>
      <c r="C218" t="str">
        <v>Yes</v>
      </c>
      <c r="D218" t="str">
        <v>No</v>
      </c>
      <c r="E218" t="str">
        <v>No</v>
      </c>
      <c r="F218">
        <v>5</v>
      </c>
      <c r="G218" t="str">
        <v>R</v>
      </c>
      <c r="H218">
        <v>1.25</v>
      </c>
      <c r="I218">
        <v>0</v>
      </c>
      <c r="J218">
        <v>0</v>
      </c>
      <c r="K218" t="str">
        <v>High mealy bug load</v>
      </c>
    </row>
    <row r="219" spans="1:11" x14ac:dyDescent="0.35">
      <c r="A219">
        <v>93</v>
      </c>
      <c r="B219" t="str">
        <v>No</v>
      </c>
      <c r="C219" t="str">
        <v>Yes</v>
      </c>
      <c r="D219" t="str">
        <v>No</v>
      </c>
      <c r="E219" t="str">
        <v>No</v>
      </c>
      <c r="F219">
        <v>5</v>
      </c>
      <c r="G219" t="str">
        <v>R</v>
      </c>
      <c r="H219">
        <v>1.25</v>
      </c>
      <c r="I219">
        <v>0</v>
      </c>
      <c r="J219">
        <v>0</v>
      </c>
      <c r="K219">
        <v>0</v>
      </c>
    </row>
    <row r="220" spans="1:11" x14ac:dyDescent="0.35">
      <c r="A220">
        <v>145</v>
      </c>
      <c r="B220" t="str">
        <v>No</v>
      </c>
      <c r="C220" t="str">
        <v>Yes</v>
      </c>
      <c r="D220" t="str">
        <v>No</v>
      </c>
      <c r="E220" t="str">
        <v>No</v>
      </c>
      <c r="F220">
        <v>5</v>
      </c>
      <c r="G220" t="str">
        <v>R</v>
      </c>
      <c r="H220">
        <v>1.25</v>
      </c>
      <c r="I220">
        <v>0</v>
      </c>
      <c r="J220">
        <v>0</v>
      </c>
      <c r="K220" t="str">
        <v>High high mealy bug load, covered in mildew may block spores. Cleaned.</v>
      </c>
    </row>
    <row r="221" spans="1:11" x14ac:dyDescent="0.35">
      <c r="A221">
        <v>182</v>
      </c>
      <c r="B221" t="str">
        <v>No</v>
      </c>
      <c r="C221" t="str">
        <v>Yes</v>
      </c>
      <c r="D221" t="str">
        <v>No</v>
      </c>
      <c r="E221" t="str">
        <v>No</v>
      </c>
      <c r="F221">
        <v>5</v>
      </c>
      <c r="G221" t="str">
        <v>R</v>
      </c>
      <c r="H221">
        <v>1.25</v>
      </c>
      <c r="I221">
        <v>0</v>
      </c>
      <c r="J221">
        <v>0</v>
      </c>
      <c r="K221">
        <v>0</v>
      </c>
    </row>
    <row r="222" spans="1:11" x14ac:dyDescent="0.35">
      <c r="A222">
        <v>207</v>
      </c>
      <c r="B222" t="str">
        <v>No</v>
      </c>
      <c r="C222" t="str">
        <v>Yes</v>
      </c>
      <c r="D222" t="str">
        <v>No</v>
      </c>
      <c r="E222" t="str">
        <v>No</v>
      </c>
      <c r="F222">
        <v>5</v>
      </c>
      <c r="G222" t="str">
        <v>R</v>
      </c>
      <c r="H222">
        <v>1.25</v>
      </c>
      <c r="I222">
        <v>0</v>
      </c>
      <c r="J222">
        <v>0</v>
      </c>
      <c r="K222">
        <v>0</v>
      </c>
    </row>
    <row r="223" spans="1:11" x14ac:dyDescent="0.35">
      <c r="A223">
        <v>260</v>
      </c>
      <c r="B223" t="str">
        <v>No</v>
      </c>
      <c r="C223" t="str">
        <v>Yes</v>
      </c>
      <c r="D223" t="str">
        <v>No</v>
      </c>
      <c r="E223" t="str">
        <v>No</v>
      </c>
      <c r="F223">
        <v>20</v>
      </c>
      <c r="G223" t="str">
        <v>R</v>
      </c>
      <c r="H223">
        <v>5</v>
      </c>
      <c r="I223">
        <v>0</v>
      </c>
      <c r="J223">
        <v>0</v>
      </c>
      <c r="K223">
        <v>0</v>
      </c>
    </row>
    <row r="224" spans="1:11" x14ac:dyDescent="0.35">
      <c r="A224">
        <v>394</v>
      </c>
      <c r="B224" t="str">
        <v>No</v>
      </c>
      <c r="C224" t="str">
        <v>Yes</v>
      </c>
      <c r="D224" t="str">
        <v>No</v>
      </c>
      <c r="E224" t="str">
        <v>No</v>
      </c>
      <c r="F224">
        <v>5</v>
      </c>
      <c r="G224" t="str">
        <v>R</v>
      </c>
      <c r="H224">
        <v>1.25</v>
      </c>
      <c r="I224">
        <v>0</v>
      </c>
      <c r="J224">
        <v>0</v>
      </c>
      <c r="K224">
        <v>0</v>
      </c>
    </row>
    <row r="225" spans="1:11" x14ac:dyDescent="0.35">
      <c r="A225">
        <v>463</v>
      </c>
      <c r="B225" t="str">
        <v>No</v>
      </c>
      <c r="C225" t="str">
        <v>Yes</v>
      </c>
      <c r="D225" t="str">
        <v>No</v>
      </c>
      <c r="E225" t="str">
        <v>No</v>
      </c>
      <c r="F225">
        <v>5</v>
      </c>
      <c r="G225" t="str">
        <v>R</v>
      </c>
      <c r="H225">
        <v>1.25</v>
      </c>
      <c r="I225">
        <v>0</v>
      </c>
      <c r="J225">
        <v>0</v>
      </c>
      <c r="K225">
        <v>0</v>
      </c>
    </row>
    <row r="226" spans="1:11" x14ac:dyDescent="0.35">
      <c r="A226">
        <v>469</v>
      </c>
      <c r="B226" t="str">
        <v>No</v>
      </c>
      <c r="C226" t="str">
        <v>Yes</v>
      </c>
      <c r="D226" t="str">
        <v>No</v>
      </c>
      <c r="E226" t="str">
        <v>No</v>
      </c>
      <c r="F226">
        <v>5</v>
      </c>
      <c r="G226" t="str">
        <v>R</v>
      </c>
      <c r="H226">
        <v>1.25</v>
      </c>
      <c r="I226">
        <v>0</v>
      </c>
      <c r="J226">
        <v>0</v>
      </c>
      <c r="K226">
        <v>0</v>
      </c>
    </row>
    <row r="227" spans="1:11" x14ac:dyDescent="0.35">
      <c r="A227">
        <v>483</v>
      </c>
      <c r="B227" t="str">
        <v>No</v>
      </c>
      <c r="C227" t="str">
        <v>Yes</v>
      </c>
      <c r="D227" t="str">
        <v>No</v>
      </c>
      <c r="E227" t="str">
        <v>No</v>
      </c>
      <c r="F227">
        <v>5</v>
      </c>
      <c r="G227" t="str">
        <v>R</v>
      </c>
      <c r="H227">
        <v>1.25</v>
      </c>
      <c r="I227">
        <v>0</v>
      </c>
      <c r="J227">
        <v>0</v>
      </c>
      <c r="K227" t="str">
        <v>Mealy bug coverage</v>
      </c>
    </row>
    <row r="228" spans="1:11" x14ac:dyDescent="0.35">
      <c r="A228">
        <v>509</v>
      </c>
      <c r="B228" t="str">
        <v>No</v>
      </c>
      <c r="C228" t="str">
        <v>Yes</v>
      </c>
      <c r="D228" t="str">
        <v>No</v>
      </c>
      <c r="E228" t="str">
        <v>No</v>
      </c>
      <c r="F228">
        <v>5</v>
      </c>
      <c r="G228" t="str">
        <v>R</v>
      </c>
      <c r="H228">
        <v>1.25</v>
      </c>
      <c r="I228">
        <v>0</v>
      </c>
      <c r="J228">
        <v>0</v>
      </c>
      <c r="K228">
        <v>0</v>
      </c>
    </row>
    <row r="229" spans="1:11" x14ac:dyDescent="0.35">
      <c r="A229">
        <v>519</v>
      </c>
      <c r="B229" t="str">
        <v>No</v>
      </c>
      <c r="C229" t="str">
        <v>Yes</v>
      </c>
      <c r="D229" t="str">
        <v>No</v>
      </c>
      <c r="E229" t="str">
        <v>No</v>
      </c>
      <c r="F229">
        <v>5</v>
      </c>
      <c r="G229" t="str">
        <v>R</v>
      </c>
      <c r="H229">
        <v>1.25</v>
      </c>
      <c r="I229">
        <v>0</v>
      </c>
      <c r="J229">
        <v>0</v>
      </c>
      <c r="K229">
        <v>0</v>
      </c>
    </row>
    <row r="230" spans="1:11" x14ac:dyDescent="0.35">
      <c r="A230">
        <v>541</v>
      </c>
      <c r="B230" t="str">
        <v>No</v>
      </c>
      <c r="C230" t="str">
        <v>Yes</v>
      </c>
      <c r="D230" t="str">
        <v>No</v>
      </c>
      <c r="E230" t="str">
        <v>No</v>
      </c>
      <c r="F230">
        <v>5</v>
      </c>
      <c r="G230" t="str">
        <v>R</v>
      </c>
      <c r="H230">
        <v>1.25</v>
      </c>
      <c r="I230">
        <v>0</v>
      </c>
      <c r="J230">
        <v>0</v>
      </c>
      <c r="K230">
        <v>0</v>
      </c>
    </row>
    <row r="231" spans="1:11" x14ac:dyDescent="0.35">
      <c r="A231">
        <v>586</v>
      </c>
      <c r="B231" t="str">
        <v>No</v>
      </c>
      <c r="C231" t="str">
        <v>Yes</v>
      </c>
      <c r="D231" t="str">
        <v>No</v>
      </c>
      <c r="E231" t="str">
        <v>No</v>
      </c>
      <c r="F231">
        <v>5</v>
      </c>
      <c r="G231" t="str">
        <v>R</v>
      </c>
      <c r="H231">
        <v>1.25</v>
      </c>
      <c r="I231">
        <v>0</v>
      </c>
      <c r="J231">
        <v>0</v>
      </c>
      <c r="K231">
        <v>0</v>
      </c>
    </row>
    <row r="232" spans="1:11" x14ac:dyDescent="0.35">
      <c r="A232">
        <v>639</v>
      </c>
      <c r="B232" t="str">
        <v>No</v>
      </c>
      <c r="C232" t="str">
        <v>Yes</v>
      </c>
      <c r="D232" t="str">
        <v>No</v>
      </c>
      <c r="E232" t="str">
        <v>No</v>
      </c>
      <c r="F232">
        <v>5</v>
      </c>
      <c r="G232" t="str">
        <v>R</v>
      </c>
      <c r="H232">
        <v>1.25</v>
      </c>
      <c r="I232">
        <v>0</v>
      </c>
      <c r="J232">
        <v>0</v>
      </c>
      <c r="K232">
        <v>0</v>
      </c>
    </row>
    <row r="233" spans="1:11" x14ac:dyDescent="0.35">
      <c r="A233">
        <v>670</v>
      </c>
      <c r="B233" t="str">
        <v>No</v>
      </c>
      <c r="C233" t="str">
        <v>Yes</v>
      </c>
      <c r="D233" t="str">
        <v>No</v>
      </c>
      <c r="E233" t="str">
        <v>No</v>
      </c>
      <c r="F233">
        <v>5</v>
      </c>
      <c r="G233" t="str">
        <v>R</v>
      </c>
      <c r="H233">
        <v>1.25</v>
      </c>
      <c r="I233">
        <v>0</v>
      </c>
      <c r="J233">
        <v>0</v>
      </c>
      <c r="K233">
        <v>0</v>
      </c>
    </row>
    <row r="234" spans="1:11" x14ac:dyDescent="0.35">
      <c r="A234">
        <v>674</v>
      </c>
      <c r="B234" t="str">
        <v>No</v>
      </c>
      <c r="C234" t="str">
        <v>Yes</v>
      </c>
      <c r="D234" t="str">
        <v>No</v>
      </c>
      <c r="E234" t="str">
        <v>No</v>
      </c>
      <c r="F234">
        <v>5</v>
      </c>
      <c r="G234" t="str">
        <v>R</v>
      </c>
      <c r="H234">
        <v>1.25</v>
      </c>
      <c r="I234">
        <v>0</v>
      </c>
      <c r="J234">
        <v>0</v>
      </c>
      <c r="K234">
        <v>0</v>
      </c>
    </row>
    <row r="235" spans="1:11" x14ac:dyDescent="0.35">
      <c r="A235">
        <v>129</v>
      </c>
      <c r="B235" t="str">
        <v>Yes</v>
      </c>
      <c r="C235" t="str">
        <v>Yes</v>
      </c>
      <c r="D235" t="str">
        <v>No</v>
      </c>
      <c r="E235" t="str">
        <v>No</v>
      </c>
      <c r="F235">
        <v>10</v>
      </c>
      <c r="G235" t="str">
        <v>R</v>
      </c>
      <c r="H235">
        <v>2.5</v>
      </c>
      <c r="I235">
        <v>0</v>
      </c>
      <c r="J235">
        <v>0</v>
      </c>
      <c r="K235">
        <v>0</v>
      </c>
    </row>
    <row r="236" spans="1:11" x14ac:dyDescent="0.35">
      <c r="A236">
        <v>313</v>
      </c>
      <c r="B236" t="str">
        <v>Yes</v>
      </c>
      <c r="C236" t="str">
        <v>Yes</v>
      </c>
      <c r="D236" t="str">
        <v>No</v>
      </c>
      <c r="E236" t="str">
        <v>No</v>
      </c>
      <c r="F236">
        <v>5</v>
      </c>
      <c r="G236" t="str">
        <v>R</v>
      </c>
      <c r="H236">
        <v>1.25</v>
      </c>
      <c r="I236">
        <v>0</v>
      </c>
      <c r="J236">
        <v>0</v>
      </c>
      <c r="K236">
        <v>0</v>
      </c>
    </row>
    <row r="237" spans="1:11" x14ac:dyDescent="0.35">
      <c r="A237">
        <v>576</v>
      </c>
      <c r="B237" t="str">
        <v>Yes</v>
      </c>
      <c r="C237" t="str">
        <v>Yes</v>
      </c>
      <c r="D237" t="str">
        <v>No</v>
      </c>
      <c r="E237" t="str">
        <v>No</v>
      </c>
      <c r="F237">
        <v>10</v>
      </c>
      <c r="G237" t="str">
        <v>R</v>
      </c>
      <c r="H237">
        <v>2.5</v>
      </c>
      <c r="I237">
        <v>0</v>
      </c>
      <c r="J237">
        <v>0</v>
      </c>
      <c r="K237">
        <v>0</v>
      </c>
    </row>
    <row r="238" spans="1:11" x14ac:dyDescent="0.35">
      <c r="A238">
        <v>501</v>
      </c>
      <c r="B238" t="str">
        <v>No</v>
      </c>
      <c r="C238" t="str">
        <v>Yes</v>
      </c>
      <c r="D238" t="str">
        <v>Yes</v>
      </c>
      <c r="E238" t="str">
        <v>No</v>
      </c>
      <c r="F238">
        <v>5</v>
      </c>
      <c r="G238" t="str">
        <v>R</v>
      </c>
      <c r="H238">
        <v>1.25</v>
      </c>
      <c r="I238">
        <v>0</v>
      </c>
      <c r="J238">
        <v>0</v>
      </c>
      <c r="K238">
        <v>0</v>
      </c>
    </row>
    <row r="239" spans="1:11" x14ac:dyDescent="0.35">
      <c r="A239">
        <v>512</v>
      </c>
      <c r="B239" t="str">
        <v>No</v>
      </c>
      <c r="C239" t="str">
        <v>Yes</v>
      </c>
      <c r="D239" t="str">
        <v>Yes</v>
      </c>
      <c r="E239" t="str">
        <v>No</v>
      </c>
      <c r="F239">
        <v>5</v>
      </c>
      <c r="G239" t="str">
        <v>R</v>
      </c>
      <c r="H239">
        <v>1.25</v>
      </c>
      <c r="I239">
        <v>0</v>
      </c>
      <c r="J239">
        <v>0</v>
      </c>
      <c r="K239">
        <v>0</v>
      </c>
    </row>
    <row r="240" spans="1:11" x14ac:dyDescent="0.35">
      <c r="A240">
        <v>20</v>
      </c>
      <c r="B240" t="str">
        <v>Yes</v>
      </c>
      <c r="C240" t="str">
        <v>Yes</v>
      </c>
      <c r="D240" t="str">
        <v>Yes</v>
      </c>
      <c r="E240" t="str">
        <v>No</v>
      </c>
      <c r="F240">
        <v>5</v>
      </c>
      <c r="G240" t="str">
        <v>R</v>
      </c>
      <c r="H240">
        <v>1.25</v>
      </c>
      <c r="I240">
        <v>0</v>
      </c>
      <c r="J240">
        <v>0</v>
      </c>
      <c r="K240">
        <v>0</v>
      </c>
    </row>
    <row r="241" spans="1:11" x14ac:dyDescent="0.35">
      <c r="A241">
        <v>69</v>
      </c>
      <c r="B241" t="str">
        <v>Yes</v>
      </c>
      <c r="C241" t="str">
        <v>Yes</v>
      </c>
      <c r="D241" t="str">
        <v>No</v>
      </c>
      <c r="E241" t="str">
        <v>No</v>
      </c>
      <c r="F241">
        <v>95</v>
      </c>
      <c r="G241" t="str">
        <v>R</v>
      </c>
      <c r="H241">
        <v>23.75</v>
      </c>
      <c r="I241">
        <v>0</v>
      </c>
      <c r="J241">
        <v>0</v>
      </c>
      <c r="K241">
        <v>0</v>
      </c>
    </row>
    <row r="242" spans="1:11" x14ac:dyDescent="0.35">
      <c r="A242">
        <v>170</v>
      </c>
      <c r="B242" t="str">
        <v>No</v>
      </c>
      <c r="C242" t="str">
        <v>Yes</v>
      </c>
      <c r="D242" t="str">
        <v>No</v>
      </c>
      <c r="E242" t="str">
        <v>Mix</v>
      </c>
      <c r="F242">
        <v>15</v>
      </c>
      <c r="G242" t="str">
        <v>S</v>
      </c>
      <c r="H242">
        <v>13.125</v>
      </c>
      <c r="I242">
        <v>1</v>
      </c>
      <c r="J242">
        <v>1</v>
      </c>
      <c r="K242" t="str">
        <v>On branch</v>
      </c>
    </row>
    <row r="243" spans="1:11" x14ac:dyDescent="0.35">
      <c r="A243">
        <v>447</v>
      </c>
      <c r="B243" t="str">
        <v>Yes</v>
      </c>
      <c r="C243" t="str">
        <v>Yes</v>
      </c>
      <c r="D243" t="str">
        <v>No</v>
      </c>
      <c r="E243" t="str">
        <v>Mix</v>
      </c>
      <c r="F243">
        <v>25</v>
      </c>
      <c r="G243" t="str">
        <v>S</v>
      </c>
      <c r="H243">
        <v>21.875</v>
      </c>
      <c r="I243">
        <v>1</v>
      </c>
      <c r="J243">
        <v>1</v>
      </c>
      <c r="K243">
        <v>0</v>
      </c>
    </row>
    <row r="244" spans="1:11" x14ac:dyDescent="0.35">
      <c r="A244">
        <v>503</v>
      </c>
      <c r="B244" t="str">
        <v>No</v>
      </c>
      <c r="C244" t="str">
        <v>Yes</v>
      </c>
      <c r="D244" t="str">
        <v>No</v>
      </c>
      <c r="E244" t="str">
        <v>Unrestricted</v>
      </c>
      <c r="F244">
        <v>20</v>
      </c>
      <c r="G244" t="str">
        <v>S</v>
      </c>
      <c r="H244">
        <v>17.5</v>
      </c>
      <c r="I244">
        <v>1</v>
      </c>
      <c r="J244">
        <v>1</v>
      </c>
      <c r="K244">
        <v>0</v>
      </c>
    </row>
    <row r="245" spans="1:11" x14ac:dyDescent="0.35">
      <c r="A245">
        <v>430</v>
      </c>
      <c r="B245" t="str">
        <v>Yes</v>
      </c>
      <c r="C245" t="str">
        <v>Yes</v>
      </c>
      <c r="D245" t="str">
        <v>No</v>
      </c>
      <c r="E245" t="str">
        <v>Unrestricted</v>
      </c>
      <c r="F245">
        <v>25</v>
      </c>
      <c r="G245" t="str">
        <v>S</v>
      </c>
      <c r="H245">
        <v>21.875</v>
      </c>
      <c r="I245">
        <v>1</v>
      </c>
      <c r="J245">
        <v>1</v>
      </c>
      <c r="K245" t="str">
        <v>Warped elaf</v>
      </c>
    </row>
    <row r="246" spans="1:11" x14ac:dyDescent="0.35">
      <c r="A246">
        <v>432</v>
      </c>
      <c r="B246" t="str">
        <v>Yes</v>
      </c>
      <c r="C246" t="str">
        <v>Yes</v>
      </c>
      <c r="D246" t="str">
        <v>No</v>
      </c>
      <c r="E246" t="str">
        <v>Unrestricted</v>
      </c>
      <c r="F246">
        <v>20</v>
      </c>
      <c r="G246" t="str">
        <v>S</v>
      </c>
      <c r="H246">
        <v>17.5</v>
      </c>
      <c r="I246">
        <v>1</v>
      </c>
      <c r="J246">
        <v>1</v>
      </c>
      <c r="K246" t="str">
        <v>Few unrestricted colonies</v>
      </c>
    </row>
    <row r="247" spans="1:11" x14ac:dyDescent="0.35">
      <c r="A247">
        <v>91</v>
      </c>
      <c r="B247" t="str">
        <v>No</v>
      </c>
      <c r="C247" t="str">
        <v>No</v>
      </c>
      <c r="D247" t="str">
        <v>No</v>
      </c>
      <c r="E247" t="str">
        <v>Unrestricted</v>
      </c>
      <c r="F247">
        <v>30</v>
      </c>
      <c r="G247" t="str">
        <v>HS</v>
      </c>
      <c r="H247">
        <v>30</v>
      </c>
      <c r="I247">
        <v>1</v>
      </c>
      <c r="J247">
        <v>1</v>
      </c>
      <c r="K247" t="str">
        <v>warped leaves</v>
      </c>
    </row>
    <row r="248" spans="1:11" x14ac:dyDescent="0.35">
      <c r="A248">
        <v>660</v>
      </c>
      <c r="B248" t="str">
        <v>No</v>
      </c>
      <c r="C248" t="str">
        <v>No</v>
      </c>
      <c r="D248" t="str">
        <v>No</v>
      </c>
      <c r="E248" t="str">
        <v>Unrestricted</v>
      </c>
      <c r="F248">
        <v>80</v>
      </c>
      <c r="G248" t="str">
        <v>HS</v>
      </c>
      <c r="H248">
        <v>80</v>
      </c>
      <c r="I248">
        <v>1</v>
      </c>
      <c r="J248">
        <v>1</v>
      </c>
      <c r="K248">
        <v>0</v>
      </c>
    </row>
    <row r="249" spans="1:11" x14ac:dyDescent="0.35">
      <c r="A249">
        <v>283</v>
      </c>
      <c r="B249" t="str">
        <v>Yes</v>
      </c>
      <c r="C249" t="str">
        <v>No</v>
      </c>
      <c r="D249" t="str">
        <v>No</v>
      </c>
      <c r="E249" t="str">
        <v>Unrestricted</v>
      </c>
      <c r="F249">
        <v>60</v>
      </c>
      <c r="G249" t="str">
        <v>HS</v>
      </c>
      <c r="H249">
        <v>60</v>
      </c>
      <c r="I249">
        <v>1</v>
      </c>
      <c r="J249">
        <v>1</v>
      </c>
      <c r="K249">
        <v>0</v>
      </c>
    </row>
    <row r="250" spans="1:11" x14ac:dyDescent="0.35">
      <c r="A250">
        <v>351</v>
      </c>
      <c r="B250" t="str">
        <v>Yes</v>
      </c>
      <c r="C250" t="str">
        <v>No</v>
      </c>
      <c r="D250" t="str">
        <v>No</v>
      </c>
      <c r="E250" t="str">
        <v>Unrestricted</v>
      </c>
      <c r="F250">
        <v>20</v>
      </c>
      <c r="G250" t="str">
        <v>HS</v>
      </c>
      <c r="H250">
        <v>20</v>
      </c>
      <c r="I250">
        <v>1</v>
      </c>
      <c r="J250">
        <v>1</v>
      </c>
      <c r="K250">
        <v>0</v>
      </c>
    </row>
    <row r="251" spans="1:11" x14ac:dyDescent="0.35">
      <c r="A251">
        <v>374</v>
      </c>
      <c r="B251" t="str">
        <v>Yes</v>
      </c>
      <c r="C251" t="str">
        <v>No</v>
      </c>
      <c r="D251" t="str">
        <v>No</v>
      </c>
      <c r="E251" t="str">
        <v>Unrestricted</v>
      </c>
      <c r="F251">
        <v>60</v>
      </c>
      <c r="G251" t="str">
        <v>HS</v>
      </c>
      <c r="H251">
        <v>60</v>
      </c>
      <c r="I251">
        <v>1</v>
      </c>
      <c r="J251">
        <v>1</v>
      </c>
      <c r="K251" t="str">
        <v>Limited IR</v>
      </c>
    </row>
    <row r="252" spans="1:11" x14ac:dyDescent="0.35">
      <c r="A252">
        <v>52</v>
      </c>
      <c r="B252" t="str">
        <v>No</v>
      </c>
      <c r="C252" t="str">
        <v>Yes</v>
      </c>
      <c r="D252" t="str">
        <v>No</v>
      </c>
      <c r="E252" t="str">
        <v>Unrestricted</v>
      </c>
      <c r="F252">
        <v>85</v>
      </c>
      <c r="G252" t="str">
        <v>HS</v>
      </c>
      <c r="H252">
        <v>85</v>
      </c>
      <c r="I252">
        <v>1</v>
      </c>
      <c r="J252">
        <v>1</v>
      </c>
      <c r="K252" t="str">
        <v>Chlorosis on bottom leaves</v>
      </c>
    </row>
    <row r="253" spans="1:11" x14ac:dyDescent="0.35">
      <c r="A253">
        <v>138</v>
      </c>
      <c r="B253" t="str">
        <v>No</v>
      </c>
      <c r="C253" t="str">
        <v>Yes</v>
      </c>
      <c r="D253" t="str">
        <v>No</v>
      </c>
      <c r="E253" t="str">
        <v>Unrestricted</v>
      </c>
      <c r="F253">
        <v>90</v>
      </c>
      <c r="G253" t="str">
        <v>HS</v>
      </c>
      <c r="H253">
        <v>90</v>
      </c>
      <c r="I253">
        <v>1</v>
      </c>
      <c r="J253">
        <v>1</v>
      </c>
      <c r="K253" t="str">
        <v>Colonies with no IR</v>
      </c>
    </row>
    <row r="254" spans="1:11" x14ac:dyDescent="0.35">
      <c r="A254">
        <v>465</v>
      </c>
      <c r="B254" t="str">
        <v>No</v>
      </c>
      <c r="C254" t="str">
        <v>Yes</v>
      </c>
      <c r="D254" t="str">
        <v>No</v>
      </c>
      <c r="E254" t="str">
        <v>Unrestricted</v>
      </c>
      <c r="F254">
        <v>80</v>
      </c>
      <c r="G254" t="str">
        <v>HS</v>
      </c>
      <c r="H254">
        <v>80</v>
      </c>
      <c r="I254">
        <v>1</v>
      </c>
      <c r="J254">
        <v>1</v>
      </c>
      <c r="K254" t="str">
        <v>Top leaves no IR</v>
      </c>
    </row>
    <row r="255" spans="1:11" x14ac:dyDescent="0.35">
      <c r="A255">
        <v>653</v>
      </c>
      <c r="B255" t="str">
        <v>No</v>
      </c>
      <c r="C255" t="str">
        <v>Yes</v>
      </c>
      <c r="D255" t="str">
        <v>No</v>
      </c>
      <c r="E255" t="str">
        <v>Unrestricted</v>
      </c>
      <c r="F255">
        <v>50</v>
      </c>
      <c r="G255" t="str">
        <v>HS</v>
      </c>
      <c r="H255">
        <v>50</v>
      </c>
      <c r="I255">
        <v>1</v>
      </c>
      <c r="J255">
        <v>1</v>
      </c>
      <c r="K255">
        <v>0</v>
      </c>
    </row>
    <row r="256" spans="1:11" x14ac:dyDescent="0.35">
      <c r="A256">
        <v>240</v>
      </c>
      <c r="B256" t="str">
        <v>Yes</v>
      </c>
      <c r="C256" t="str">
        <v>Yes</v>
      </c>
      <c r="D256" t="str">
        <v>No</v>
      </c>
      <c r="E256" t="str">
        <v>Unrestricted</v>
      </c>
      <c r="F256">
        <v>75</v>
      </c>
      <c r="G256" t="str">
        <v>HS</v>
      </c>
      <c r="H256">
        <v>75</v>
      </c>
      <c r="I256">
        <v>1</v>
      </c>
      <c r="J256">
        <v>1</v>
      </c>
      <c r="K256" t="str">
        <v>Leaf with no IR</v>
      </c>
    </row>
    <row r="257" spans="1:11" x14ac:dyDescent="0.35">
      <c r="A257">
        <v>31</v>
      </c>
      <c r="B257" t="str">
        <v>Yes</v>
      </c>
      <c r="C257" t="str">
        <v>Yes</v>
      </c>
      <c r="D257" t="str">
        <v>Yes</v>
      </c>
      <c r="E257" t="str">
        <v>Unrestricted</v>
      </c>
      <c r="F257">
        <v>80</v>
      </c>
      <c r="G257" t="str">
        <v>HS</v>
      </c>
      <c r="H257">
        <v>80</v>
      </c>
      <c r="I257">
        <v>1</v>
      </c>
      <c r="J257">
        <v>1</v>
      </c>
      <c r="K257" t="str">
        <v>Colonies with no IR. Warped leaf shape</v>
      </c>
    </row>
    <row r="258" spans="1:11" x14ac:dyDescent="0.35">
      <c r="A258">
        <v>258</v>
      </c>
      <c r="B258" t="str">
        <v>No</v>
      </c>
      <c r="C258" t="str">
        <v>No</v>
      </c>
      <c r="D258" t="str">
        <v>No</v>
      </c>
      <c r="E258" t="str">
        <v>Unrestricted</v>
      </c>
      <c r="F258">
        <v>80</v>
      </c>
      <c r="G258" t="str">
        <v>HS</v>
      </c>
      <c r="H258">
        <v>80</v>
      </c>
      <c r="I258">
        <v>1</v>
      </c>
      <c r="J258">
        <v>1</v>
      </c>
      <c r="K258" t="str">
        <v>Chlorosis on older leaves</v>
      </c>
    </row>
    <row r="259" spans="1:11" x14ac:dyDescent="0.35">
      <c r="A259">
        <v>241</v>
      </c>
      <c r="B259" t="str">
        <v>Yes</v>
      </c>
      <c r="C259" t="str">
        <v>No</v>
      </c>
      <c r="D259" t="str">
        <v>No</v>
      </c>
      <c r="E259" t="str">
        <v>Unrestricted</v>
      </c>
      <c r="F259">
        <v>50</v>
      </c>
      <c r="G259" t="str">
        <v>HS</v>
      </c>
      <c r="H259">
        <v>50</v>
      </c>
      <c r="I259">
        <v>1</v>
      </c>
      <c r="J259">
        <v>1</v>
      </c>
      <c r="K259" t="str">
        <v>Leaf with no IR</v>
      </c>
    </row>
    <row r="260" spans="1:11" x14ac:dyDescent="0.35">
      <c r="A260">
        <v>276</v>
      </c>
      <c r="B260" t="str">
        <v>Yes</v>
      </c>
      <c r="C260" t="str">
        <v>No</v>
      </c>
      <c r="D260" t="str">
        <v>No</v>
      </c>
      <c r="E260" t="str">
        <v>Unrestricted</v>
      </c>
      <c r="F260">
        <v>80</v>
      </c>
      <c r="G260" t="str">
        <v>HS</v>
      </c>
      <c r="H260">
        <v>80</v>
      </c>
      <c r="I260">
        <v>1</v>
      </c>
      <c r="J260">
        <v>1</v>
      </c>
      <c r="K260" t="str">
        <v>Flecking on bottom leaves</v>
      </c>
    </row>
    <row r="261" spans="1:11" x14ac:dyDescent="0.35">
      <c r="A261">
        <v>134</v>
      </c>
      <c r="B261" t="str">
        <v>Yes</v>
      </c>
      <c r="C261" t="str">
        <v>Yes</v>
      </c>
      <c r="D261" t="str">
        <v>No</v>
      </c>
      <c r="E261" t="str">
        <v>Unrestricted</v>
      </c>
      <c r="F261">
        <v>20</v>
      </c>
      <c r="G261" t="str">
        <v>HS</v>
      </c>
      <c r="H261">
        <v>20</v>
      </c>
      <c r="I261">
        <v>1</v>
      </c>
      <c r="J261">
        <v>1</v>
      </c>
      <c r="K261" t="str">
        <v>Leaf with no IR</v>
      </c>
    </row>
    <row r="262" spans="1:11" x14ac:dyDescent="0.35">
      <c r="A262">
        <v>141</v>
      </c>
      <c r="B262" t="str">
        <v>Yes</v>
      </c>
      <c r="C262" t="str">
        <v>Yes</v>
      </c>
      <c r="D262" t="str">
        <v>No</v>
      </c>
      <c r="E262" t="str">
        <v>Unrestricted</v>
      </c>
      <c r="F262">
        <v>50</v>
      </c>
      <c r="G262" t="str">
        <v>HS</v>
      </c>
      <c r="H262">
        <v>50</v>
      </c>
      <c r="I262">
        <v>1</v>
      </c>
      <c r="J262">
        <v>1</v>
      </c>
      <c r="K262" t="str">
        <v>Leaf with no IR</v>
      </c>
    </row>
    <row r="263" spans="1:11" x14ac:dyDescent="0.35">
      <c r="A263">
        <v>127</v>
      </c>
      <c r="B263" t="str">
        <v>No</v>
      </c>
      <c r="C263" t="str">
        <v>No</v>
      </c>
      <c r="D263" t="str">
        <v>No</v>
      </c>
      <c r="E263" t="str">
        <v>Unrestricted</v>
      </c>
      <c r="F263">
        <v>50</v>
      </c>
      <c r="G263" t="str">
        <v>HS</v>
      </c>
      <c r="H263">
        <v>50</v>
      </c>
      <c r="I263">
        <v>1</v>
      </c>
      <c r="J263">
        <v>1</v>
      </c>
      <c r="K263">
        <v>0</v>
      </c>
    </row>
    <row r="264" spans="1:11" x14ac:dyDescent="0.35">
      <c r="A264">
        <v>132</v>
      </c>
      <c r="B264" t="str">
        <v>No</v>
      </c>
      <c r="C264" t="str">
        <v>No</v>
      </c>
      <c r="D264" t="str">
        <v>No</v>
      </c>
      <c r="E264" t="str">
        <v>Unrestricted</v>
      </c>
      <c r="F264">
        <v>50</v>
      </c>
      <c r="G264" t="str">
        <v>HS</v>
      </c>
      <c r="H264">
        <v>50</v>
      </c>
      <c r="I264">
        <v>1</v>
      </c>
      <c r="J264">
        <v>1</v>
      </c>
      <c r="K264">
        <v>0</v>
      </c>
    </row>
    <row r="265" spans="1:11" x14ac:dyDescent="0.35">
      <c r="A265">
        <v>169</v>
      </c>
      <c r="B265" t="str">
        <v>No</v>
      </c>
      <c r="C265" t="str">
        <v>No</v>
      </c>
      <c r="D265" t="str">
        <v>No</v>
      </c>
      <c r="E265" t="str">
        <v>Unrestricted</v>
      </c>
      <c r="F265">
        <v>25</v>
      </c>
      <c r="G265" t="str">
        <v>HS</v>
      </c>
      <c r="H265">
        <v>25</v>
      </c>
      <c r="I265">
        <v>1</v>
      </c>
      <c r="J265">
        <v>1</v>
      </c>
      <c r="K265">
        <v>0</v>
      </c>
    </row>
    <row r="266" spans="1:11" x14ac:dyDescent="0.35">
      <c r="A266">
        <v>298</v>
      </c>
      <c r="B266" t="str">
        <v>No</v>
      </c>
      <c r="C266" t="str">
        <v>No</v>
      </c>
      <c r="D266" t="str">
        <v>No</v>
      </c>
      <c r="E266" t="str">
        <v>Unrestricted</v>
      </c>
      <c r="F266">
        <v>60</v>
      </c>
      <c r="G266" t="str">
        <v>HS</v>
      </c>
      <c r="H266">
        <v>60</v>
      </c>
      <c r="I266">
        <v>1</v>
      </c>
      <c r="J266">
        <v>1</v>
      </c>
      <c r="K266">
        <v>0</v>
      </c>
    </row>
    <row r="267" spans="1:11" x14ac:dyDescent="0.35">
      <c r="A267">
        <v>147</v>
      </c>
      <c r="B267" t="str">
        <v>Yes</v>
      </c>
      <c r="C267" t="str">
        <v>No</v>
      </c>
      <c r="D267" t="str">
        <v>No</v>
      </c>
      <c r="E267" t="str">
        <v>Unrestricted</v>
      </c>
      <c r="F267">
        <v>50</v>
      </c>
      <c r="G267" t="str">
        <v>HS</v>
      </c>
      <c r="H267">
        <v>50</v>
      </c>
      <c r="I267">
        <v>1</v>
      </c>
      <c r="J267">
        <v>1</v>
      </c>
      <c r="K267" t="str">
        <v>Little IR</v>
      </c>
    </row>
    <row r="268" spans="1:11" x14ac:dyDescent="0.35">
      <c r="A268">
        <v>237</v>
      </c>
      <c r="B268" t="str">
        <v>Yes</v>
      </c>
      <c r="C268" t="str">
        <v>No</v>
      </c>
      <c r="D268" t="str">
        <v>No</v>
      </c>
      <c r="E268" t="str">
        <v>Unrestricted</v>
      </c>
      <c r="F268">
        <v>60</v>
      </c>
      <c r="G268" t="str">
        <v>HS</v>
      </c>
      <c r="H268">
        <v>60</v>
      </c>
      <c r="I268">
        <v>1</v>
      </c>
      <c r="J268">
        <v>1</v>
      </c>
      <c r="K268" t="str">
        <v>Leaf with no IR. Chlorosis on more mature leaves discounted</v>
      </c>
    </row>
    <row r="269" spans="1:11" x14ac:dyDescent="0.35">
      <c r="A269">
        <v>652</v>
      </c>
      <c r="B269" t="str">
        <v>Yes</v>
      </c>
      <c r="C269" t="str">
        <v>No</v>
      </c>
      <c r="D269" t="str">
        <v>No</v>
      </c>
      <c r="E269" t="str">
        <v>Unrestricted</v>
      </c>
      <c r="F269">
        <v>15</v>
      </c>
      <c r="G269" t="str">
        <v>HS</v>
      </c>
      <c r="H269">
        <v>15</v>
      </c>
      <c r="I269">
        <v>1</v>
      </c>
      <c r="J269">
        <v>1</v>
      </c>
      <c r="K269" t="str">
        <v>Limited IR on unrestricted colonies</v>
      </c>
    </row>
    <row r="270" spans="1:11" x14ac:dyDescent="0.35">
      <c r="A270">
        <v>217</v>
      </c>
      <c r="B270" t="str">
        <v>No</v>
      </c>
      <c r="C270" t="str">
        <v>Yes</v>
      </c>
      <c r="D270" t="str">
        <v>No</v>
      </c>
      <c r="E270" t="str">
        <v>Unrestricted</v>
      </c>
      <c r="F270">
        <v>50</v>
      </c>
      <c r="G270" t="str">
        <v>HS</v>
      </c>
      <c r="H270">
        <v>50</v>
      </c>
      <c r="I270">
        <v>1</v>
      </c>
      <c r="J270">
        <v>1</v>
      </c>
      <c r="K270" t="str">
        <v>Limited immune response on some colonies. On branch</v>
      </c>
    </row>
    <row r="271" spans="1:11" x14ac:dyDescent="0.35">
      <c r="A271">
        <v>259</v>
      </c>
      <c r="B271" t="str">
        <v>No</v>
      </c>
      <c r="C271" t="str">
        <v>Yes</v>
      </c>
      <c r="D271" t="str">
        <v>No</v>
      </c>
      <c r="E271" t="str">
        <v>Unrestricted</v>
      </c>
      <c r="F271">
        <v>80</v>
      </c>
      <c r="G271" t="str">
        <v>HS</v>
      </c>
      <c r="H271">
        <v>80</v>
      </c>
      <c r="I271">
        <v>1</v>
      </c>
      <c r="J271">
        <v>1</v>
      </c>
      <c r="K271" t="str">
        <v>Top leaves no IR. On branch</v>
      </c>
    </row>
    <row r="272" spans="1:11" x14ac:dyDescent="0.35">
      <c r="A272">
        <v>651</v>
      </c>
      <c r="B272" t="str">
        <v>No</v>
      </c>
      <c r="C272" t="str">
        <v>Yes</v>
      </c>
      <c r="D272" t="str">
        <v>No</v>
      </c>
      <c r="E272" t="str">
        <v>Unrestricted</v>
      </c>
      <c r="F272">
        <v>30</v>
      </c>
      <c r="G272" t="str">
        <v>HS</v>
      </c>
      <c r="H272">
        <v>30</v>
      </c>
      <c r="I272">
        <v>1</v>
      </c>
      <c r="J272">
        <v>1</v>
      </c>
      <c r="K272" t="str">
        <v>Limited IR on unrestricted colonies</v>
      </c>
    </row>
    <row r="273" spans="1:11" x14ac:dyDescent="0.35">
      <c r="A273">
        <v>675</v>
      </c>
      <c r="B273" t="str">
        <v>No</v>
      </c>
      <c r="C273" t="str">
        <v>Yes</v>
      </c>
      <c r="D273" t="str">
        <v>No</v>
      </c>
      <c r="E273" t="str">
        <v>Unrestricted</v>
      </c>
      <c r="F273">
        <v>50</v>
      </c>
      <c r="G273" t="str">
        <v>HS</v>
      </c>
      <c r="H273">
        <v>50</v>
      </c>
      <c r="I273">
        <v>1</v>
      </c>
      <c r="J273">
        <v>1</v>
      </c>
      <c r="K273" t="str">
        <v>Little IR</v>
      </c>
    </row>
    <row r="274" spans="1:11" x14ac:dyDescent="0.35">
      <c r="A274">
        <v>208</v>
      </c>
      <c r="B274" t="str">
        <v>Yes</v>
      </c>
      <c r="C274" t="str">
        <v>Yes</v>
      </c>
      <c r="D274" t="str">
        <v>No</v>
      </c>
      <c r="E274" t="str">
        <v>Unrestricted</v>
      </c>
      <c r="F274">
        <v>70</v>
      </c>
      <c r="G274" t="str">
        <v>HS</v>
      </c>
      <c r="H274">
        <v>70</v>
      </c>
      <c r="I274">
        <v>1</v>
      </c>
      <c r="J274">
        <v>1</v>
      </c>
      <c r="K274" t="str">
        <v>Colonies on leaves with no IR only flecking on background</v>
      </c>
    </row>
    <row r="275" spans="1:11" x14ac:dyDescent="0.35">
      <c r="A275">
        <v>264</v>
      </c>
      <c r="B275" t="str">
        <v>Yes</v>
      </c>
      <c r="C275" t="str">
        <v>Yes</v>
      </c>
      <c r="D275" t="str">
        <v>No</v>
      </c>
      <c r="E275" t="str">
        <v>Unrestricted</v>
      </c>
      <c r="F275">
        <v>80</v>
      </c>
      <c r="G275" t="str">
        <v>HS</v>
      </c>
      <c r="H275">
        <v>80</v>
      </c>
      <c r="I275">
        <v>1</v>
      </c>
      <c r="J275">
        <v>1</v>
      </c>
      <c r="K275" t="str">
        <v>Some colonies no IR</v>
      </c>
    </row>
    <row r="276" spans="1:11" x14ac:dyDescent="0.35">
      <c r="A276">
        <v>429</v>
      </c>
      <c r="B276" t="str">
        <v>Yes</v>
      </c>
      <c r="C276" t="str">
        <v>Yes</v>
      </c>
      <c r="D276" t="str">
        <v>No</v>
      </c>
      <c r="E276" t="str">
        <v>Unrestricted</v>
      </c>
      <c r="F276">
        <v>70</v>
      </c>
      <c r="G276" t="str">
        <v>HS</v>
      </c>
      <c r="H276">
        <v>70</v>
      </c>
      <c r="I276">
        <v>1</v>
      </c>
      <c r="J276">
        <v>1</v>
      </c>
      <c r="K276" t="str">
        <v>Colonies with no IR</v>
      </c>
    </row>
    <row r="277" spans="1:11" x14ac:dyDescent="0.35">
      <c r="A277">
        <v>92</v>
      </c>
      <c r="B277" t="str">
        <v>No</v>
      </c>
      <c r="C277" t="str">
        <v>Yes</v>
      </c>
      <c r="D277" t="str">
        <v>No</v>
      </c>
      <c r="E277" t="str">
        <v>Restricted</v>
      </c>
      <c r="F277">
        <v>50</v>
      </c>
      <c r="G277" t="str">
        <v>MRMS</v>
      </c>
      <c r="H277">
        <v>25</v>
      </c>
      <c r="I277">
        <v>0</v>
      </c>
      <c r="J277">
        <v>0</v>
      </c>
      <c r="K277">
        <v>0</v>
      </c>
    </row>
    <row r="278" spans="1:11" x14ac:dyDescent="0.35">
      <c r="A278">
        <v>106</v>
      </c>
      <c r="B278" t="str">
        <v>No</v>
      </c>
      <c r="C278" t="str">
        <v>Yes</v>
      </c>
      <c r="D278" t="str">
        <v>No</v>
      </c>
      <c r="E278" t="str">
        <v>Restricted</v>
      </c>
      <c r="F278">
        <v>50</v>
      </c>
      <c r="G278" t="str">
        <v>MRMS</v>
      </c>
      <c r="H278">
        <v>25</v>
      </c>
      <c r="I278">
        <v>0</v>
      </c>
      <c r="J278">
        <v>0</v>
      </c>
      <c r="K278">
        <v>0</v>
      </c>
    </row>
    <row r="279" spans="1:11" x14ac:dyDescent="0.35">
      <c r="A279">
        <v>112</v>
      </c>
      <c r="B279" t="str">
        <v>No</v>
      </c>
      <c r="C279" t="str">
        <v>Yes</v>
      </c>
      <c r="D279" t="str">
        <v>No</v>
      </c>
      <c r="E279" t="str">
        <v>Restricted</v>
      </c>
      <c r="F279">
        <v>50</v>
      </c>
      <c r="G279" t="str">
        <v>MRMS</v>
      </c>
      <c r="H279">
        <v>25</v>
      </c>
      <c r="I279">
        <v>0</v>
      </c>
      <c r="J279">
        <v>0</v>
      </c>
      <c r="K279" t="str">
        <v>high chlorotic cover</v>
      </c>
    </row>
    <row r="280" spans="1:11" x14ac:dyDescent="0.35">
      <c r="A280">
        <v>137</v>
      </c>
      <c r="B280" t="str">
        <v>No</v>
      </c>
      <c r="C280" t="str">
        <v>Yes</v>
      </c>
      <c r="D280" t="str">
        <v>No</v>
      </c>
      <c r="E280" t="str">
        <v>Restricted</v>
      </c>
      <c r="F280">
        <v>75</v>
      </c>
      <c r="G280" t="str">
        <v>MRMS</v>
      </c>
      <c r="H280">
        <v>37.5</v>
      </c>
      <c r="I280">
        <v>0</v>
      </c>
      <c r="J280">
        <v>0</v>
      </c>
      <c r="K280" t="str">
        <v>Large chlorosis few spores</v>
      </c>
    </row>
    <row r="281" spans="1:11" x14ac:dyDescent="0.35">
      <c r="A281">
        <v>188</v>
      </c>
      <c r="B281" t="str">
        <v>No</v>
      </c>
      <c r="C281" t="str">
        <v>Yes</v>
      </c>
      <c r="D281" t="str">
        <v>No</v>
      </c>
      <c r="E281" t="str">
        <v>Restricted</v>
      </c>
      <c r="F281">
        <v>10</v>
      </c>
      <c r="G281" t="str">
        <v>MRMS</v>
      </c>
      <c r="H281">
        <v>5</v>
      </c>
      <c r="I281">
        <v>0</v>
      </c>
      <c r="J281">
        <v>0</v>
      </c>
      <c r="K281" t="str">
        <v>Snapped but still alive tip</v>
      </c>
    </row>
    <row r="282" spans="1:11" x14ac:dyDescent="0.35">
      <c r="A282">
        <v>395</v>
      </c>
      <c r="B282" t="str">
        <v>No</v>
      </c>
      <c r="C282" t="str">
        <v>Yes</v>
      </c>
      <c r="D282" t="str">
        <v>No</v>
      </c>
      <c r="E282" t="str">
        <v>Restricted</v>
      </c>
      <c r="F282">
        <v>80</v>
      </c>
      <c r="G282" t="str">
        <v>MRMS</v>
      </c>
      <c r="H282">
        <v>40</v>
      </c>
      <c r="I282">
        <v>0</v>
      </c>
      <c r="J282">
        <v>0</v>
      </c>
      <c r="K282" t="str">
        <v>large chlorotic cover but minimal sporulation</v>
      </c>
    </row>
    <row r="283" spans="1:11" x14ac:dyDescent="0.35">
      <c r="A283">
        <v>619</v>
      </c>
      <c r="B283" t="str">
        <v>No</v>
      </c>
      <c r="C283" t="str">
        <v>Yes</v>
      </c>
      <c r="D283" t="str">
        <v>No</v>
      </c>
      <c r="E283" t="str">
        <v>Restricted</v>
      </c>
      <c r="F283">
        <v>80</v>
      </c>
      <c r="G283" t="str">
        <v>MRMS</v>
      </c>
      <c r="H283">
        <v>40</v>
      </c>
      <c r="I283">
        <v>0</v>
      </c>
      <c r="J283">
        <v>0</v>
      </c>
      <c r="K283" t="str">
        <v>3 one spore colony; large chlorotic cover</v>
      </c>
    </row>
    <row r="284" spans="1:11" x14ac:dyDescent="0.35">
      <c r="A284">
        <v>111</v>
      </c>
      <c r="B284" t="str">
        <v>Yes</v>
      </c>
      <c r="C284" t="str">
        <v>Yes</v>
      </c>
      <c r="D284" t="str">
        <v>No</v>
      </c>
      <c r="E284" t="str">
        <v>Restricted</v>
      </c>
      <c r="F284">
        <v>85</v>
      </c>
      <c r="G284" t="str">
        <v>MRMS</v>
      </c>
      <c r="H284">
        <v>42.5</v>
      </c>
      <c r="I284">
        <v>0</v>
      </c>
      <c r="J284">
        <v>0</v>
      </c>
      <c r="K284" t="str">
        <v>high chlorotic cover</v>
      </c>
    </row>
    <row r="285" spans="1:11" x14ac:dyDescent="0.35">
      <c r="A285">
        <v>439</v>
      </c>
      <c r="B285" t="str">
        <v>No</v>
      </c>
      <c r="C285" t="str">
        <v>Yes</v>
      </c>
      <c r="D285" t="str">
        <v>Yes</v>
      </c>
      <c r="E285" t="str">
        <v>Restricted</v>
      </c>
      <c r="F285">
        <v>25</v>
      </c>
      <c r="G285" t="str">
        <v>MRMS</v>
      </c>
      <c r="H285">
        <v>12.5</v>
      </c>
      <c r="I285">
        <v>0</v>
      </c>
      <c r="J285">
        <v>0</v>
      </c>
      <c r="K285">
        <v>0</v>
      </c>
    </row>
    <row r="286" spans="1:11" x14ac:dyDescent="0.35">
      <c r="A286">
        <v>488</v>
      </c>
      <c r="B286" t="str">
        <v>No</v>
      </c>
      <c r="C286" t="str">
        <v>Yes</v>
      </c>
      <c r="D286" t="str">
        <v>Yes</v>
      </c>
      <c r="E286" t="str">
        <v>Restricted</v>
      </c>
      <c r="F286">
        <v>80</v>
      </c>
      <c r="G286" t="str">
        <v>MRMS</v>
      </c>
      <c r="H286">
        <v>40</v>
      </c>
      <c r="I286">
        <v>0</v>
      </c>
      <c r="J286">
        <v>0</v>
      </c>
      <c r="K286">
        <v>0</v>
      </c>
    </row>
    <row r="287" spans="1:11" x14ac:dyDescent="0.35">
      <c r="A287">
        <v>165</v>
      </c>
      <c r="B287" t="str">
        <v>No</v>
      </c>
      <c r="C287" t="str">
        <v>Yes</v>
      </c>
      <c r="D287" t="str">
        <v>No</v>
      </c>
      <c r="E287" t="str">
        <v>Mix</v>
      </c>
      <c r="F287">
        <v>25</v>
      </c>
      <c r="G287" t="str">
        <v>MS</v>
      </c>
      <c r="H287">
        <v>18.75</v>
      </c>
      <c r="I287">
        <v>0</v>
      </c>
      <c r="J287">
        <v>1</v>
      </c>
      <c r="K287">
        <v>0</v>
      </c>
    </row>
    <row r="288" spans="1:11" x14ac:dyDescent="0.35">
      <c r="A288">
        <v>221</v>
      </c>
      <c r="B288" t="str">
        <v>No</v>
      </c>
      <c r="C288" t="str">
        <v>Yes</v>
      </c>
      <c r="D288" t="str">
        <v>No</v>
      </c>
      <c r="E288" t="str">
        <v>Mix</v>
      </c>
      <c r="F288">
        <v>50</v>
      </c>
      <c r="G288" t="str">
        <v>MS</v>
      </c>
      <c r="H288">
        <v>37.5</v>
      </c>
      <c r="I288">
        <v>0</v>
      </c>
      <c r="J288">
        <v>1</v>
      </c>
      <c r="K288" t="str">
        <v>Large chlorotic lesions but single spores maybe 30 on a leaf</v>
      </c>
    </row>
    <row r="289" spans="1:11" x14ac:dyDescent="0.35">
      <c r="A289">
        <v>289</v>
      </c>
      <c r="B289" t="str">
        <v>No</v>
      </c>
      <c r="C289" t="str">
        <v>Yes</v>
      </c>
      <c r="D289" t="str">
        <v>No</v>
      </c>
      <c r="E289" t="str">
        <v>Mix</v>
      </c>
      <c r="F289">
        <v>50</v>
      </c>
      <c r="G289" t="str">
        <v>MS</v>
      </c>
      <c r="H289">
        <v>37.5</v>
      </c>
      <c r="I289">
        <v>0</v>
      </c>
      <c r="J289">
        <v>1</v>
      </c>
      <c r="K289">
        <v>0</v>
      </c>
    </row>
    <row r="290" spans="1:11" x14ac:dyDescent="0.35">
      <c r="A290">
        <v>312</v>
      </c>
      <c r="B290" t="str">
        <v>No</v>
      </c>
      <c r="C290" t="str">
        <v>Yes</v>
      </c>
      <c r="D290" t="str">
        <v>No</v>
      </c>
      <c r="E290" t="str">
        <v>Mix</v>
      </c>
      <c r="F290">
        <v>10</v>
      </c>
      <c r="G290" t="str">
        <v>MS</v>
      </c>
      <c r="H290">
        <v>7.5</v>
      </c>
      <c r="I290">
        <v>0</v>
      </c>
      <c r="J290">
        <v>1</v>
      </c>
      <c r="K290">
        <v>0</v>
      </c>
    </row>
    <row r="291" spans="1:11" x14ac:dyDescent="0.35">
      <c r="A291">
        <v>318</v>
      </c>
      <c r="B291" t="str">
        <v>No</v>
      </c>
      <c r="C291" t="str">
        <v>Yes</v>
      </c>
      <c r="D291" t="str">
        <v>No</v>
      </c>
      <c r="E291" t="str">
        <v>Mix</v>
      </c>
      <c r="F291">
        <v>15</v>
      </c>
      <c r="G291" t="str">
        <v>MS</v>
      </c>
      <c r="H291">
        <v>11.25</v>
      </c>
      <c r="I291">
        <v>0</v>
      </c>
      <c r="J291">
        <v>1</v>
      </c>
      <c r="K291">
        <v>0</v>
      </c>
    </row>
    <row r="292" spans="1:11" x14ac:dyDescent="0.35">
      <c r="A292">
        <v>335</v>
      </c>
      <c r="B292" t="str">
        <v>No</v>
      </c>
      <c r="C292" t="str">
        <v>Yes</v>
      </c>
      <c r="D292" t="str">
        <v>No</v>
      </c>
      <c r="E292" t="str">
        <v>Mix</v>
      </c>
      <c r="F292">
        <v>50</v>
      </c>
      <c r="G292" t="str">
        <v>MS</v>
      </c>
      <c r="H292">
        <v>37.5</v>
      </c>
      <c r="I292">
        <v>0</v>
      </c>
      <c r="J292">
        <v>1</v>
      </c>
      <c r="K292">
        <v>0</v>
      </c>
    </row>
    <row r="293" spans="1:11" x14ac:dyDescent="0.35">
      <c r="A293">
        <v>364</v>
      </c>
      <c r="B293" t="str">
        <v>No</v>
      </c>
      <c r="C293" t="str">
        <v>Yes</v>
      </c>
      <c r="D293" t="str">
        <v>No</v>
      </c>
      <c r="E293" t="str">
        <v>Mix</v>
      </c>
      <c r="F293">
        <v>40</v>
      </c>
      <c r="G293" t="str">
        <v>MS</v>
      </c>
      <c r="H293">
        <v>30</v>
      </c>
      <c r="I293">
        <v>0</v>
      </c>
      <c r="J293">
        <v>1</v>
      </c>
      <c r="K293">
        <v>0</v>
      </c>
    </row>
    <row r="294" spans="1:11" x14ac:dyDescent="0.35">
      <c r="A294">
        <v>89</v>
      </c>
      <c r="B294" t="str">
        <v>No</v>
      </c>
      <c r="C294" t="str">
        <v>Yes</v>
      </c>
      <c r="D294" t="str">
        <v>No</v>
      </c>
      <c r="E294" t="str">
        <v>Mix</v>
      </c>
      <c r="F294">
        <v>80</v>
      </c>
      <c r="G294" t="str">
        <v>MS</v>
      </c>
      <c r="H294">
        <v>60</v>
      </c>
      <c r="I294">
        <v>0</v>
      </c>
      <c r="J294">
        <v>1</v>
      </c>
      <c r="K294" t="str">
        <v>Small spore coverage but large chlorotic lesions</v>
      </c>
    </row>
    <row r="295" spans="1:11" x14ac:dyDescent="0.35">
      <c r="A295">
        <v>186</v>
      </c>
      <c r="B295" t="str">
        <v>Yes</v>
      </c>
      <c r="C295" t="str">
        <v>Yes</v>
      </c>
      <c r="D295" t="str">
        <v>No</v>
      </c>
      <c r="E295" t="str">
        <v>Mix</v>
      </c>
      <c r="F295">
        <v>25</v>
      </c>
      <c r="G295" t="str">
        <v>MS</v>
      </c>
      <c r="H295">
        <v>18.75</v>
      </c>
      <c r="I295">
        <v>0</v>
      </c>
      <c r="J295">
        <v>1</v>
      </c>
      <c r="K295">
        <v>0</v>
      </c>
    </row>
    <row r="296" spans="1:11" x14ac:dyDescent="0.35">
      <c r="A296">
        <v>279</v>
      </c>
      <c r="B296" t="str">
        <v>Yes</v>
      </c>
      <c r="C296" t="str">
        <v>Yes</v>
      </c>
      <c r="D296" t="str">
        <v>No</v>
      </c>
      <c r="E296" t="str">
        <v>Mix</v>
      </c>
      <c r="F296">
        <v>25</v>
      </c>
      <c r="G296" t="str">
        <v>MS</v>
      </c>
      <c r="H296">
        <v>18.75</v>
      </c>
      <c r="I296">
        <v>0</v>
      </c>
      <c r="J296">
        <v>1</v>
      </c>
      <c r="K296">
        <v>0</v>
      </c>
    </row>
    <row r="297" spans="1:11" x14ac:dyDescent="0.35">
      <c r="A297">
        <v>292</v>
      </c>
      <c r="B297" t="str">
        <v>Yes</v>
      </c>
      <c r="C297" t="str">
        <v>Yes</v>
      </c>
      <c r="D297" t="str">
        <v>No</v>
      </c>
      <c r="E297" t="str">
        <v>Mix</v>
      </c>
      <c r="F297">
        <v>10</v>
      </c>
      <c r="G297" t="str">
        <v>MS</v>
      </c>
      <c r="H297">
        <v>7.5</v>
      </c>
      <c r="I297">
        <v>0</v>
      </c>
      <c r="J297">
        <v>1</v>
      </c>
      <c r="K297">
        <v>0</v>
      </c>
    </row>
    <row r="298" spans="1:11" x14ac:dyDescent="0.35">
      <c r="A298">
        <v>333</v>
      </c>
      <c r="B298" t="str">
        <v>No</v>
      </c>
      <c r="C298" t="str">
        <v>Yes</v>
      </c>
      <c r="D298" t="str">
        <v>Yes</v>
      </c>
      <c r="E298" t="str">
        <v>Mix</v>
      </c>
      <c r="F298">
        <v>40</v>
      </c>
      <c r="G298" t="str">
        <v>MS</v>
      </c>
      <c r="H298">
        <v>30</v>
      </c>
      <c r="I298">
        <v>0</v>
      </c>
      <c r="J298">
        <v>1</v>
      </c>
      <c r="K298">
        <v>0</v>
      </c>
    </row>
    <row r="299" spans="1:11" x14ac:dyDescent="0.35">
      <c r="A299">
        <v>450</v>
      </c>
      <c r="B299" t="str">
        <v>No</v>
      </c>
      <c r="C299" t="str">
        <v>Yes</v>
      </c>
      <c r="D299" t="str">
        <v>No</v>
      </c>
      <c r="E299" t="str">
        <v>Restricted</v>
      </c>
      <c r="F299">
        <v>20</v>
      </c>
      <c r="G299" t="str">
        <v>MS</v>
      </c>
      <c r="H299">
        <v>15</v>
      </c>
      <c r="I299">
        <v>0</v>
      </c>
      <c r="J299">
        <v>1</v>
      </c>
      <c r="K299">
        <v>0</v>
      </c>
    </row>
    <row r="300" spans="1:11" x14ac:dyDescent="0.35">
      <c r="A300">
        <v>13</v>
      </c>
      <c r="B300" t="str">
        <v>Yes</v>
      </c>
      <c r="C300" t="str">
        <v>Yes</v>
      </c>
      <c r="D300" t="str">
        <v>No</v>
      </c>
      <c r="E300" t="str">
        <v>Restricted</v>
      </c>
      <c r="F300">
        <v>10</v>
      </c>
      <c r="G300" t="str">
        <v>MS</v>
      </c>
      <c r="H300">
        <v>7.5</v>
      </c>
      <c r="I300">
        <v>0</v>
      </c>
      <c r="J300">
        <v>1</v>
      </c>
      <c r="K300">
        <v>0</v>
      </c>
    </row>
    <row r="301" spans="1:11" x14ac:dyDescent="0.35">
      <c r="A301">
        <v>18</v>
      </c>
      <c r="B301" t="str">
        <v>Yes</v>
      </c>
      <c r="C301" t="str">
        <v>Yes</v>
      </c>
      <c r="D301" t="str">
        <v>No</v>
      </c>
      <c r="E301" t="str">
        <v>Restricted</v>
      </c>
      <c r="F301">
        <v>10</v>
      </c>
      <c r="G301" t="str">
        <v>MS</v>
      </c>
      <c r="H301">
        <v>7.5</v>
      </c>
      <c r="I301">
        <v>0</v>
      </c>
      <c r="J301">
        <v>1</v>
      </c>
      <c r="K301">
        <v>0</v>
      </c>
    </row>
    <row r="302" spans="1:11" x14ac:dyDescent="0.35">
      <c r="A302">
        <v>133</v>
      </c>
      <c r="B302" t="str">
        <v>Yes</v>
      </c>
      <c r="C302" t="str">
        <v>Yes</v>
      </c>
      <c r="D302" t="str">
        <v>No</v>
      </c>
      <c r="E302" t="str">
        <v>Restricted</v>
      </c>
      <c r="F302">
        <v>15</v>
      </c>
      <c r="G302" t="str">
        <v>MS</v>
      </c>
      <c r="H302">
        <v>11.25</v>
      </c>
      <c r="I302">
        <v>0</v>
      </c>
      <c r="J302">
        <v>1</v>
      </c>
      <c r="K302">
        <v>0</v>
      </c>
    </row>
    <row r="303" spans="1:11" x14ac:dyDescent="0.35">
      <c r="A303">
        <v>256</v>
      </c>
      <c r="B303" t="str">
        <v>Yes</v>
      </c>
      <c r="C303" t="str">
        <v>Yes</v>
      </c>
      <c r="D303" t="str">
        <v>No</v>
      </c>
      <c r="E303" t="str">
        <v>Restricted</v>
      </c>
      <c r="F303">
        <v>10</v>
      </c>
      <c r="G303" t="str">
        <v>MS</v>
      </c>
      <c r="H303">
        <v>7.5</v>
      </c>
      <c r="I303">
        <v>0</v>
      </c>
      <c r="J303">
        <v>1</v>
      </c>
      <c r="K303">
        <v>0</v>
      </c>
    </row>
    <row r="304" spans="1:11" x14ac:dyDescent="0.35">
      <c r="A304">
        <v>314</v>
      </c>
      <c r="B304" t="str">
        <v>Yes</v>
      </c>
      <c r="C304" t="str">
        <v>Yes</v>
      </c>
      <c r="D304" t="str">
        <v>No</v>
      </c>
      <c r="E304" t="str">
        <v>Restricted</v>
      </c>
      <c r="F304">
        <v>10</v>
      </c>
      <c r="G304" t="str">
        <v>MS</v>
      </c>
      <c r="H304">
        <v>7.5</v>
      </c>
      <c r="I304">
        <v>0</v>
      </c>
      <c r="J304">
        <v>1</v>
      </c>
      <c r="K304">
        <v>0</v>
      </c>
    </row>
    <row r="305" spans="1:11" x14ac:dyDescent="0.35">
      <c r="A305">
        <v>618</v>
      </c>
      <c r="B305" t="str">
        <v>Yes</v>
      </c>
      <c r="C305" t="str">
        <v>Yes</v>
      </c>
      <c r="D305" t="str">
        <v>No</v>
      </c>
      <c r="E305" t="str">
        <v>Restricted</v>
      </c>
      <c r="F305">
        <v>10</v>
      </c>
      <c r="G305" t="str">
        <v>MS</v>
      </c>
      <c r="H305">
        <v>7.5</v>
      </c>
      <c r="I305">
        <v>0</v>
      </c>
      <c r="J305">
        <v>1</v>
      </c>
      <c r="K305" t="str">
        <v>Multiple restricted pustules</v>
      </c>
    </row>
    <row r="306" spans="1:11" x14ac:dyDescent="0.35">
      <c r="A306">
        <v>212</v>
      </c>
      <c r="B306" t="str">
        <v>Yes</v>
      </c>
      <c r="C306" t="str">
        <v>Yes</v>
      </c>
      <c r="D306" t="str">
        <v>Yes</v>
      </c>
      <c r="E306" t="str">
        <v>Restricted</v>
      </c>
      <c r="F306">
        <v>25</v>
      </c>
      <c r="G306" t="str">
        <v>MS</v>
      </c>
      <c r="H306">
        <v>18.75</v>
      </c>
      <c r="I306">
        <v>0</v>
      </c>
      <c r="J306">
        <v>1</v>
      </c>
      <c r="K306" t="str">
        <v>On branch</v>
      </c>
    </row>
    <row r="307" spans="1:11" x14ac:dyDescent="0.35">
      <c r="A307">
        <v>85</v>
      </c>
      <c r="B307" t="str">
        <v>No</v>
      </c>
      <c r="C307" t="str">
        <v>Yes</v>
      </c>
      <c r="D307" t="str">
        <v>No</v>
      </c>
      <c r="E307" t="str">
        <v>Unrestricted</v>
      </c>
      <c r="F307">
        <v>60</v>
      </c>
      <c r="G307" t="str">
        <v>MS</v>
      </c>
      <c r="H307">
        <v>45</v>
      </c>
      <c r="I307">
        <v>0</v>
      </c>
      <c r="J307">
        <v>1</v>
      </c>
      <c r="K307" t="str">
        <v>Minimal spore colonies</v>
      </c>
    </row>
    <row r="308" spans="1:11" x14ac:dyDescent="0.35">
      <c r="A308">
        <v>107</v>
      </c>
      <c r="B308" t="str">
        <v>No</v>
      </c>
      <c r="C308" t="str">
        <v>Yes</v>
      </c>
      <c r="D308" t="str">
        <v>Yes</v>
      </c>
      <c r="E308" t="str">
        <v>Unrestricted</v>
      </c>
      <c r="F308">
        <v>40</v>
      </c>
      <c r="G308" t="str">
        <v>MS</v>
      </c>
      <c r="H308">
        <v>30</v>
      </c>
      <c r="I308">
        <v>0</v>
      </c>
      <c r="J308">
        <v>1</v>
      </c>
      <c r="K308" t="str">
        <v>warped leaf</v>
      </c>
    </row>
    <row r="309" spans="1:11" x14ac:dyDescent="0.35">
      <c r="A309">
        <v>665</v>
      </c>
      <c r="B309" t="str">
        <v>Yes</v>
      </c>
      <c r="C309" t="str">
        <v>Yes</v>
      </c>
      <c r="D309" t="str">
        <v>No</v>
      </c>
      <c r="E309" t="str">
        <v>Unrestricted</v>
      </c>
      <c r="F309">
        <v>10</v>
      </c>
      <c r="G309" t="str">
        <v>MS</v>
      </c>
      <c r="H309">
        <v>7.5</v>
      </c>
      <c r="I309">
        <v>0</v>
      </c>
      <c r="J309">
        <v>1</v>
      </c>
      <c r="K309">
        <v>0</v>
      </c>
    </row>
    <row r="310" spans="1:11" x14ac:dyDescent="0.35">
      <c r="A310">
        <v>114</v>
      </c>
      <c r="B310" t="str">
        <v>NA</v>
      </c>
      <c r="C310" t="str">
        <v>NA</v>
      </c>
      <c r="D310" t="str">
        <v>NA</v>
      </c>
      <c r="E310" t="str">
        <v>NA</v>
      </c>
      <c r="F310" t="str">
        <v>NA</v>
      </c>
      <c r="G310" t="str">
        <v>NA</v>
      </c>
      <c r="H310" t="e">
        <v>#N/A</v>
      </c>
      <c r="I310">
        <v>1</v>
      </c>
      <c r="J310">
        <v>1</v>
      </c>
      <c r="K310" t="str">
        <v>Missing tip</v>
      </c>
    </row>
    <row r="311" spans="1:11" x14ac:dyDescent="0.35">
      <c r="A311">
        <v>187</v>
      </c>
      <c r="B311" t="str">
        <v>NA</v>
      </c>
      <c r="C311" t="str">
        <v>NA</v>
      </c>
      <c r="D311" t="str">
        <v>NA</v>
      </c>
      <c r="E311" t="str">
        <v>NA</v>
      </c>
      <c r="F311" t="str">
        <v>NA</v>
      </c>
      <c r="G311" t="str">
        <v>NA</v>
      </c>
      <c r="H311" t="e">
        <v>#N/A</v>
      </c>
      <c r="I311">
        <v>1</v>
      </c>
      <c r="J311">
        <v>1</v>
      </c>
      <c r="K311" t="str">
        <v>Missing tip</v>
      </c>
    </row>
    <row r="312" spans="1:11" x14ac:dyDescent="0.35">
      <c r="A312">
        <v>189</v>
      </c>
      <c r="B312" t="str">
        <v>NA</v>
      </c>
      <c r="C312" t="str">
        <v>NA</v>
      </c>
      <c r="D312" t="str">
        <v>NA</v>
      </c>
      <c r="E312" t="str">
        <v>NA</v>
      </c>
      <c r="F312" t="str">
        <v>NA</v>
      </c>
      <c r="G312" t="str">
        <v>NA</v>
      </c>
      <c r="H312" t="e">
        <v>#N/A</v>
      </c>
      <c r="I312">
        <v>1</v>
      </c>
      <c r="J312">
        <v>1</v>
      </c>
      <c r="K312" t="str">
        <v>Missing tip eaten</v>
      </c>
    </row>
    <row r="313" spans="1:11" x14ac:dyDescent="0.35">
      <c r="A313">
        <v>523</v>
      </c>
      <c r="B313" t="str">
        <v>NA</v>
      </c>
      <c r="C313" t="str">
        <v>NA</v>
      </c>
      <c r="D313" t="str">
        <v>NA</v>
      </c>
      <c r="E313" t="str">
        <v>NA</v>
      </c>
      <c r="F313" t="str">
        <v>NA</v>
      </c>
      <c r="G313" t="str">
        <v>NA</v>
      </c>
      <c r="H313" t="e">
        <v>#N/A</v>
      </c>
      <c r="I313">
        <v>1</v>
      </c>
      <c r="J313">
        <v>1</v>
      </c>
      <c r="K313" t="str">
        <v>Missing tip</v>
      </c>
    </row>
    <row r="314" spans="1:11" x14ac:dyDescent="0.35">
      <c r="A314">
        <v>729</v>
      </c>
      <c r="B314" t="str">
        <v>NA</v>
      </c>
      <c r="C314" t="str">
        <v>NA</v>
      </c>
      <c r="D314" t="str">
        <v>NA</v>
      </c>
      <c r="E314" t="str">
        <v>NA</v>
      </c>
      <c r="F314" t="str">
        <v>NA</v>
      </c>
      <c r="G314" t="str">
        <v>NA</v>
      </c>
      <c r="H314" t="e">
        <v>#N/A</v>
      </c>
      <c r="I314">
        <v>1</v>
      </c>
      <c r="J314">
        <v>1</v>
      </c>
      <c r="K314" t="str">
        <v>Too unhealthy to be inoculated</v>
      </c>
    </row>
    <row r="315" spans="1:11" x14ac:dyDescent="0.35">
      <c r="A315">
        <v>257</v>
      </c>
      <c r="B315" t="str">
        <v>No</v>
      </c>
      <c r="C315" t="str">
        <v>No</v>
      </c>
      <c r="D315" t="str">
        <v>No</v>
      </c>
      <c r="E315" t="str">
        <v>Mix</v>
      </c>
      <c r="F315">
        <v>15</v>
      </c>
      <c r="G315" t="str">
        <v>S</v>
      </c>
      <c r="H315">
        <v>13.125</v>
      </c>
      <c r="I315">
        <v>1</v>
      </c>
      <c r="J315">
        <v>1</v>
      </c>
      <c r="K315">
        <v>0</v>
      </c>
    </row>
    <row r="316" spans="1:11" x14ac:dyDescent="0.35">
      <c r="A316">
        <v>38</v>
      </c>
      <c r="B316" t="str">
        <v>Yes</v>
      </c>
      <c r="C316" t="str">
        <v>No</v>
      </c>
      <c r="D316" t="str">
        <v>No</v>
      </c>
      <c r="E316" t="str">
        <v>Mix</v>
      </c>
      <c r="F316">
        <v>25</v>
      </c>
      <c r="G316" t="str">
        <v>S</v>
      </c>
      <c r="H316">
        <v>21.875</v>
      </c>
      <c r="I316">
        <v>1</v>
      </c>
      <c r="J316">
        <v>1</v>
      </c>
      <c r="K316">
        <v>0</v>
      </c>
    </row>
    <row r="317" spans="1:11" x14ac:dyDescent="0.35">
      <c r="A317">
        <v>61</v>
      </c>
      <c r="B317" t="str">
        <v>No</v>
      </c>
      <c r="C317" t="str">
        <v>Yes</v>
      </c>
      <c r="D317" t="str">
        <v>No</v>
      </c>
      <c r="E317" t="str">
        <v>Mix</v>
      </c>
      <c r="F317">
        <v>25</v>
      </c>
      <c r="G317" t="str">
        <v>S</v>
      </c>
      <c r="H317">
        <v>21.875</v>
      </c>
      <c r="I317">
        <v>1</v>
      </c>
      <c r="J317">
        <v>1</v>
      </c>
      <c r="K317">
        <v>0</v>
      </c>
    </row>
    <row r="318" spans="1:11" x14ac:dyDescent="0.35">
      <c r="A318">
        <v>126</v>
      </c>
      <c r="B318" t="str">
        <v>No</v>
      </c>
      <c r="C318" t="str">
        <v>Yes</v>
      </c>
      <c r="D318" t="str">
        <v>No</v>
      </c>
      <c r="E318" t="str">
        <v>Mix</v>
      </c>
      <c r="F318">
        <v>40</v>
      </c>
      <c r="G318" t="str">
        <v>S</v>
      </c>
      <c r="H318">
        <v>35</v>
      </c>
      <c r="I318">
        <v>1</v>
      </c>
      <c r="J318">
        <v>1</v>
      </c>
      <c r="K318" t="str">
        <v>On branch</v>
      </c>
    </row>
    <row r="319" spans="1:11" x14ac:dyDescent="0.35">
      <c r="A319">
        <v>225</v>
      </c>
      <c r="B319" t="str">
        <v>No</v>
      </c>
      <c r="C319" t="str">
        <v>Yes</v>
      </c>
      <c r="D319" t="str">
        <v>No</v>
      </c>
      <c r="E319" t="str">
        <v>Mix</v>
      </c>
      <c r="F319">
        <v>25</v>
      </c>
      <c r="G319" t="str">
        <v>S</v>
      </c>
      <c r="H319">
        <v>21.875</v>
      </c>
      <c r="I319">
        <v>1</v>
      </c>
      <c r="J319">
        <v>1</v>
      </c>
      <c r="K319" t="str">
        <v>Collony with no IR</v>
      </c>
    </row>
    <row r="320" spans="1:11" x14ac:dyDescent="0.35">
      <c r="A320">
        <v>15</v>
      </c>
      <c r="B320" t="str">
        <v>Yes</v>
      </c>
      <c r="C320" t="str">
        <v>Yes</v>
      </c>
      <c r="D320" t="str">
        <v>No</v>
      </c>
      <c r="E320" t="str">
        <v>Mix</v>
      </c>
      <c r="F320">
        <v>20</v>
      </c>
      <c r="G320" t="str">
        <v>S</v>
      </c>
      <c r="H320">
        <v>17.5</v>
      </c>
      <c r="I320">
        <v>1</v>
      </c>
      <c r="J320">
        <v>1</v>
      </c>
      <c r="K320">
        <v>0</v>
      </c>
    </row>
    <row r="321" spans="1:11" x14ac:dyDescent="0.35">
      <c r="A321">
        <v>366</v>
      </c>
      <c r="B321" t="str">
        <v>Yes</v>
      </c>
      <c r="C321" t="str">
        <v>Yes</v>
      </c>
      <c r="D321" t="str">
        <v>No</v>
      </c>
      <c r="E321" t="str">
        <v>Mix</v>
      </c>
      <c r="F321">
        <v>20</v>
      </c>
      <c r="G321" t="str">
        <v>S</v>
      </c>
      <c r="H321">
        <v>17.5</v>
      </c>
      <c r="I321">
        <v>1</v>
      </c>
      <c r="J321">
        <v>1</v>
      </c>
      <c r="K321">
        <v>0</v>
      </c>
    </row>
    <row r="322" spans="1:11" x14ac:dyDescent="0.35">
      <c r="A322">
        <v>393</v>
      </c>
      <c r="B322" t="str">
        <v>Yes</v>
      </c>
      <c r="C322" t="str">
        <v>Yes</v>
      </c>
      <c r="D322" t="str">
        <v>No</v>
      </c>
      <c r="E322" t="str">
        <v>Mix</v>
      </c>
      <c r="F322">
        <v>20</v>
      </c>
      <c r="G322" t="str">
        <v>S</v>
      </c>
      <c r="H322">
        <v>17.5</v>
      </c>
      <c r="I322">
        <v>1</v>
      </c>
      <c r="J322">
        <v>1</v>
      </c>
      <c r="K322">
        <v>0</v>
      </c>
    </row>
    <row r="323" spans="1:11" x14ac:dyDescent="0.35">
      <c r="A323">
        <v>672</v>
      </c>
      <c r="B323" t="str">
        <v>Yes</v>
      </c>
      <c r="C323" t="str">
        <v>Yes</v>
      </c>
      <c r="D323" t="str">
        <v>No</v>
      </c>
      <c r="E323" t="str">
        <v>Mix</v>
      </c>
      <c r="F323">
        <v>75</v>
      </c>
      <c r="G323" t="str">
        <v>S</v>
      </c>
      <c r="H323">
        <v>65.625</v>
      </c>
      <c r="I323">
        <v>1</v>
      </c>
      <c r="J323">
        <v>1</v>
      </c>
      <c r="K323">
        <v>0</v>
      </c>
    </row>
    <row r="324" spans="1:11" x14ac:dyDescent="0.35">
      <c r="A324">
        <v>181</v>
      </c>
      <c r="B324" t="str">
        <v>Yes</v>
      </c>
      <c r="C324" t="str">
        <v>Yes</v>
      </c>
      <c r="D324" t="str">
        <v>No</v>
      </c>
      <c r="E324" t="str">
        <v>Unrestricted</v>
      </c>
      <c r="F324">
        <v>40</v>
      </c>
      <c r="G324" t="str">
        <v>S</v>
      </c>
      <c r="H324">
        <v>35</v>
      </c>
      <c r="I324">
        <v>1</v>
      </c>
      <c r="J324">
        <v>1</v>
      </c>
      <c r="K324" t="str">
        <v>on branch</v>
      </c>
    </row>
    <row r="325" spans="1:11" x14ac:dyDescent="0.35">
      <c r="A325">
        <v>166</v>
      </c>
      <c r="B325" t="str">
        <v>No</v>
      </c>
      <c r="C325" t="str">
        <v>Yes</v>
      </c>
      <c r="D325" t="str">
        <v>No</v>
      </c>
      <c r="E325" t="str">
        <v>Unrestricted</v>
      </c>
      <c r="F325">
        <v>75</v>
      </c>
      <c r="G325" t="str">
        <v>S</v>
      </c>
      <c r="H325">
        <v>65.625</v>
      </c>
      <c r="I325">
        <v>1</v>
      </c>
      <c r="J325">
        <v>1</v>
      </c>
      <c r="K325" t="str">
        <v>On branch but with IR</v>
      </c>
    </row>
    <row r="326" spans="1:11" x14ac:dyDescent="0.35">
      <c r="A326">
        <v>288</v>
      </c>
      <c r="B326" t="str">
        <v>No</v>
      </c>
      <c r="C326" t="str">
        <v>Yes</v>
      </c>
      <c r="D326" t="str">
        <v>No</v>
      </c>
      <c r="E326" t="str">
        <v>Unrestricted</v>
      </c>
      <c r="F326">
        <v>15</v>
      </c>
      <c r="G326" t="str">
        <v>S</v>
      </c>
      <c r="H326">
        <v>13.125</v>
      </c>
      <c r="I326">
        <v>1</v>
      </c>
      <c r="J326">
        <v>1</v>
      </c>
      <c r="K326">
        <v>0</v>
      </c>
    </row>
    <row r="327" spans="1:11" x14ac:dyDescent="0.35">
      <c r="A327">
        <v>442</v>
      </c>
      <c r="B327" t="str">
        <v>No</v>
      </c>
      <c r="C327" t="str">
        <v>Yes</v>
      </c>
      <c r="D327" t="str">
        <v>No</v>
      </c>
      <c r="E327" t="str">
        <v>Unrestricted</v>
      </c>
      <c r="F327">
        <v>30</v>
      </c>
      <c r="G327" t="str">
        <v>S</v>
      </c>
      <c r="H327">
        <v>26.25</v>
      </c>
      <c r="I327">
        <v>1</v>
      </c>
      <c r="J327">
        <v>1</v>
      </c>
      <c r="K327">
        <v>0</v>
      </c>
    </row>
    <row r="328" spans="1:11" x14ac:dyDescent="0.35">
      <c r="A328">
        <v>59</v>
      </c>
      <c r="B328" t="str">
        <v>Yes</v>
      </c>
      <c r="C328" t="str">
        <v>Yes</v>
      </c>
      <c r="D328" t="str">
        <v>No</v>
      </c>
      <c r="E328" t="str">
        <v>Unrestricted</v>
      </c>
      <c r="F328">
        <v>20</v>
      </c>
      <c r="G328" t="str">
        <v>S</v>
      </c>
      <c r="H328">
        <v>17.5</v>
      </c>
      <c r="I328">
        <v>1</v>
      </c>
      <c r="J328">
        <v>1</v>
      </c>
      <c r="K328" t="str">
        <v>Mealy bug presence</v>
      </c>
    </row>
    <row r="329" spans="1:11" x14ac:dyDescent="0.35">
      <c r="A329">
        <v>167</v>
      </c>
      <c r="B329" t="str">
        <v>Yes</v>
      </c>
      <c r="C329" t="str">
        <v>Yes</v>
      </c>
      <c r="D329" t="str">
        <v>No</v>
      </c>
      <c r="E329" t="str">
        <v>Unrestricted</v>
      </c>
      <c r="F329">
        <v>25</v>
      </c>
      <c r="G329" t="str">
        <v>S</v>
      </c>
      <c r="H329">
        <v>21.875</v>
      </c>
      <c r="I329">
        <v>1</v>
      </c>
      <c r="J329">
        <v>1</v>
      </c>
      <c r="K329" t="str">
        <v>On branch but with IR</v>
      </c>
    </row>
    <row r="330" spans="1:11" x14ac:dyDescent="0.35">
      <c r="A330">
        <v>300</v>
      </c>
      <c r="B330" t="str">
        <v>Yes</v>
      </c>
      <c r="C330" t="str">
        <v>Yes</v>
      </c>
      <c r="D330" t="str">
        <v>No</v>
      </c>
      <c r="E330" t="str">
        <v>Unrestricted</v>
      </c>
      <c r="F330">
        <v>15</v>
      </c>
      <c r="G330" t="str">
        <v>S</v>
      </c>
      <c r="H330">
        <v>13.125</v>
      </c>
      <c r="I330">
        <v>1</v>
      </c>
      <c r="J330">
        <v>1</v>
      </c>
      <c r="K330">
        <v>0</v>
      </c>
    </row>
    <row r="331" spans="1:11" x14ac:dyDescent="0.35">
      <c r="A331">
        <v>448</v>
      </c>
      <c r="B331" t="str">
        <v>Yes</v>
      </c>
      <c r="C331" t="str">
        <v>Yes</v>
      </c>
      <c r="D331" t="str">
        <v>No</v>
      </c>
      <c r="E331" t="str">
        <v>Unrestricted</v>
      </c>
      <c r="F331">
        <v>60</v>
      </c>
      <c r="G331" t="str">
        <v>S</v>
      </c>
      <c r="H331">
        <v>52.5</v>
      </c>
      <c r="I331">
        <v>1</v>
      </c>
      <c r="J331">
        <v>1</v>
      </c>
      <c r="K331">
        <v>0</v>
      </c>
    </row>
    <row r="332" spans="1:11" x14ac:dyDescent="0.35">
      <c r="A332">
        <v>673</v>
      </c>
      <c r="B332" t="str">
        <v>Yes</v>
      </c>
      <c r="C332" t="str">
        <v>Yes</v>
      </c>
      <c r="D332" t="str">
        <v>No</v>
      </c>
      <c r="E332" t="str">
        <v>Unrestricted</v>
      </c>
      <c r="F332">
        <v>40</v>
      </c>
      <c r="G332" t="str">
        <v>S</v>
      </c>
      <c r="H332">
        <v>35</v>
      </c>
      <c r="I332">
        <v>1</v>
      </c>
      <c r="J332">
        <v>1</v>
      </c>
      <c r="K332">
        <v>0</v>
      </c>
    </row>
    <row r="333" spans="1:11" x14ac:dyDescent="0.35">
      <c r="A333">
        <v>413</v>
      </c>
      <c r="B333" t="str">
        <v>No</v>
      </c>
      <c r="C333" t="str">
        <v>Yes</v>
      </c>
      <c r="D333" t="str">
        <v>Yes</v>
      </c>
      <c r="E333" t="str">
        <v>Unrestricted</v>
      </c>
      <c r="F333">
        <v>25</v>
      </c>
      <c r="G333" t="str">
        <v>S</v>
      </c>
      <c r="H333">
        <v>21.875</v>
      </c>
      <c r="I333">
        <v>1</v>
      </c>
      <c r="J333">
        <v>1</v>
      </c>
      <c r="K333">
        <v>0</v>
      </c>
    </row>
    <row r="334" spans="1:11" x14ac:dyDescent="0.35">
      <c r="A334">
        <v>437</v>
      </c>
      <c r="B334" t="str">
        <v>No</v>
      </c>
      <c r="C334" t="str">
        <v>Yes</v>
      </c>
      <c r="D334" t="str">
        <v>Yes</v>
      </c>
      <c r="E334" t="str">
        <v>Unrestricted</v>
      </c>
      <c r="F334">
        <v>40</v>
      </c>
      <c r="G334" t="str">
        <v>S</v>
      </c>
      <c r="H334">
        <v>35</v>
      </c>
      <c r="I334">
        <v>1</v>
      </c>
      <c r="J334">
        <v>1</v>
      </c>
      <c r="K334">
        <v>0</v>
      </c>
    </row>
    <row r="335" spans="1:11" x14ac:dyDescent="0.35">
      <c r="A335">
        <v>689</v>
      </c>
      <c r="B335" t="str">
        <v>No</v>
      </c>
      <c r="C335" t="str">
        <v>Yes</v>
      </c>
      <c r="D335" t="str">
        <v>Yes</v>
      </c>
      <c r="E335" t="str">
        <v>Unrestricted</v>
      </c>
      <c r="F335">
        <v>75</v>
      </c>
      <c r="G335" t="str">
        <v>S</v>
      </c>
      <c r="H335">
        <v>65.625</v>
      </c>
      <c r="I335">
        <v>1</v>
      </c>
      <c r="J335">
        <v>1</v>
      </c>
      <c r="K335">
        <v>0</v>
      </c>
    </row>
    <row r="336" spans="1:11" x14ac:dyDescent="0.35">
      <c r="A336">
        <v>75</v>
      </c>
      <c r="B336" t="str">
        <v>Yes</v>
      </c>
      <c r="C336" t="str">
        <v>Yes</v>
      </c>
      <c r="D336" t="str">
        <v>Yes</v>
      </c>
      <c r="E336" t="str">
        <v>Unrestricted</v>
      </c>
      <c r="F336">
        <v>60</v>
      </c>
      <c r="G336" t="str">
        <v>S</v>
      </c>
      <c r="H336">
        <v>52.5</v>
      </c>
      <c r="I336">
        <v>1</v>
      </c>
      <c r="J336">
        <v>1</v>
      </c>
      <c r="K336">
        <v>0</v>
      </c>
    </row>
    <row r="337" spans="1:11" x14ac:dyDescent="0.35">
      <c r="A337">
        <v>502</v>
      </c>
      <c r="B337" t="str">
        <v>Yes</v>
      </c>
      <c r="C337" t="str">
        <v>Yes</v>
      </c>
      <c r="D337" t="str">
        <v>Yes</v>
      </c>
      <c r="E337" t="str">
        <v>Unrestricted</v>
      </c>
      <c r="F337">
        <v>15</v>
      </c>
      <c r="G337" t="str">
        <v>S</v>
      </c>
      <c r="H337">
        <v>13.125</v>
      </c>
      <c r="I337">
        <v>1</v>
      </c>
      <c r="J337">
        <v>1</v>
      </c>
      <c r="K337" t="str">
        <v>Warped leaf</v>
      </c>
    </row>
    <row r="338" spans="1:11" x14ac:dyDescent="0.35">
      <c r="A338">
        <v>261</v>
      </c>
      <c r="B338" t="str">
        <v>No</v>
      </c>
      <c r="C338" t="str">
        <v>Yes</v>
      </c>
      <c r="D338" t="str">
        <v>No</v>
      </c>
      <c r="E338" t="str">
        <v>Unrestricted</v>
      </c>
      <c r="F338">
        <v>80</v>
      </c>
      <c r="G338" t="str">
        <v>S</v>
      </c>
      <c r="H338">
        <v>70</v>
      </c>
      <c r="I338">
        <v>1</v>
      </c>
      <c r="J338">
        <v>1</v>
      </c>
      <c r="K338">
        <v>0</v>
      </c>
    </row>
    <row r="339" spans="1:11" x14ac:dyDescent="0.35">
      <c r="A339">
        <v>277</v>
      </c>
      <c r="B339" t="str">
        <v>No</v>
      </c>
      <c r="C339" t="str">
        <v>Yes</v>
      </c>
      <c r="D339" t="str">
        <v>No</v>
      </c>
      <c r="E339" t="str">
        <v>Unrestricted</v>
      </c>
      <c r="F339">
        <v>80</v>
      </c>
      <c r="G339" t="str">
        <v>S</v>
      </c>
      <c r="H339">
        <v>70</v>
      </c>
      <c r="I339">
        <v>1</v>
      </c>
      <c r="J339">
        <v>1</v>
      </c>
      <c r="K339">
        <v>0</v>
      </c>
    </row>
    <row r="340" spans="1:11" x14ac:dyDescent="0.35">
      <c r="A340">
        <v>284</v>
      </c>
      <c r="B340" t="str">
        <v>Yes</v>
      </c>
      <c r="C340" t="str">
        <v>Yes</v>
      </c>
      <c r="D340" t="str">
        <v>No</v>
      </c>
      <c r="E340" t="str">
        <v>Unrestricted</v>
      </c>
      <c r="F340">
        <v>40</v>
      </c>
      <c r="G340" t="str">
        <v>S</v>
      </c>
      <c r="H340">
        <v>35</v>
      </c>
      <c r="I340">
        <v>1</v>
      </c>
      <c r="J340">
        <v>1</v>
      </c>
      <c r="K340">
        <v>0</v>
      </c>
    </row>
    <row r="341" spans="1:11" x14ac:dyDescent="0.35">
      <c r="A341">
        <v>185</v>
      </c>
      <c r="B341" t="str">
        <v>No</v>
      </c>
      <c r="C341" t="str">
        <v>Yes</v>
      </c>
      <c r="D341" t="str">
        <v>Yes</v>
      </c>
      <c r="E341" t="str">
        <v>Unrestricted</v>
      </c>
      <c r="F341">
        <v>25</v>
      </c>
      <c r="G341" t="str">
        <v>S</v>
      </c>
      <c r="H341">
        <v>21.875</v>
      </c>
      <c r="I341">
        <v>1</v>
      </c>
      <c r="J341">
        <v>1</v>
      </c>
      <c r="K341" t="str">
        <v>warped leaf</v>
      </c>
    </row>
    <row r="342" spans="1:11" x14ac:dyDescent="0.35">
      <c r="A342">
        <v>467</v>
      </c>
      <c r="B342" t="str">
        <v>No</v>
      </c>
      <c r="C342" t="str">
        <v>Yes</v>
      </c>
      <c r="D342" t="str">
        <v>No</v>
      </c>
      <c r="E342" t="str">
        <v>Unrestricted</v>
      </c>
      <c r="F342">
        <v>90</v>
      </c>
      <c r="G342" t="str">
        <v>S</v>
      </c>
      <c r="H342">
        <v>78.75</v>
      </c>
      <c r="I342">
        <v>1</v>
      </c>
      <c r="J342">
        <v>1</v>
      </c>
      <c r="K342">
        <v>0</v>
      </c>
    </row>
    <row r="343" spans="1:11" x14ac:dyDescent="0.35">
      <c r="A343">
        <v>461</v>
      </c>
      <c r="B343" t="str">
        <v>Yes</v>
      </c>
      <c r="C343" t="str">
        <v>No</v>
      </c>
      <c r="D343" t="str">
        <v>No</v>
      </c>
      <c r="E343" t="str">
        <v>Unrestricted</v>
      </c>
      <c r="F343">
        <v>80</v>
      </c>
      <c r="G343" t="str">
        <v>S</v>
      </c>
      <c r="H343">
        <v>70</v>
      </c>
      <c r="I343">
        <v>1</v>
      </c>
      <c r="J343">
        <v>1</v>
      </c>
      <c r="K343">
        <v>0</v>
      </c>
    </row>
    <row r="344" spans="1:11" x14ac:dyDescent="0.35">
      <c r="A344">
        <v>39</v>
      </c>
      <c r="B344" t="str">
        <v>No</v>
      </c>
      <c r="C344" t="str">
        <v>Yes</v>
      </c>
      <c r="D344" t="str">
        <v>No</v>
      </c>
      <c r="E344" t="str">
        <v>Unrestricted</v>
      </c>
      <c r="F344">
        <v>85</v>
      </c>
      <c r="G344" t="str">
        <v>S</v>
      </c>
      <c r="H344">
        <v>74.375</v>
      </c>
      <c r="I344">
        <v>1</v>
      </c>
      <c r="J344">
        <v>1</v>
      </c>
      <c r="K344" t="str">
        <v>Warped leaf</v>
      </c>
    </row>
    <row r="345" spans="1:11" x14ac:dyDescent="0.35">
      <c r="A345">
        <v>481</v>
      </c>
      <c r="B345" t="str">
        <v>No</v>
      </c>
      <c r="C345" t="str">
        <v>Yes</v>
      </c>
      <c r="D345" t="str">
        <v>No</v>
      </c>
      <c r="E345" t="str">
        <v>Unrestricted</v>
      </c>
      <c r="F345">
        <v>10</v>
      </c>
      <c r="G345" t="str">
        <v>S</v>
      </c>
      <c r="H345">
        <v>8.75</v>
      </c>
      <c r="I345">
        <v>1</v>
      </c>
      <c r="J345">
        <v>1</v>
      </c>
      <c r="K345">
        <v>0</v>
      </c>
    </row>
    <row r="346" spans="1:11" x14ac:dyDescent="0.35">
      <c r="A346">
        <v>486</v>
      </c>
      <c r="B346" t="str">
        <v>No</v>
      </c>
      <c r="C346" t="str">
        <v>Yes</v>
      </c>
      <c r="D346" t="str">
        <v>Yes</v>
      </c>
      <c r="E346" t="str">
        <v>Unrestricted</v>
      </c>
      <c r="F346">
        <v>80</v>
      </c>
      <c r="G346" t="str">
        <v>S</v>
      </c>
      <c r="H346">
        <v>70</v>
      </c>
      <c r="I346">
        <v>1</v>
      </c>
      <c r="J346">
        <v>1</v>
      </c>
      <c r="K346">
        <v>0</v>
      </c>
    </row>
    <row r="347" spans="1:11" x14ac:dyDescent="0.35">
      <c r="A347">
        <v>215</v>
      </c>
      <c r="B347" t="str">
        <v>No</v>
      </c>
      <c r="C347" t="str">
        <v>Yes</v>
      </c>
      <c r="D347" t="str">
        <v>No</v>
      </c>
      <c r="E347" t="str">
        <v>Unrestricted</v>
      </c>
      <c r="F347">
        <v>50</v>
      </c>
      <c r="G347" t="str">
        <v>S</v>
      </c>
      <c r="H347">
        <v>43.75</v>
      </c>
      <c r="I347">
        <v>1</v>
      </c>
      <c r="J347">
        <v>1</v>
      </c>
      <c r="K347" t="str">
        <v>On branch</v>
      </c>
    </row>
    <row r="348" spans="1:11" x14ac:dyDescent="0.35">
      <c r="A348">
        <v>222</v>
      </c>
      <c r="B348" t="str">
        <v>No</v>
      </c>
      <c r="C348" t="str">
        <v>Yes</v>
      </c>
      <c r="D348" t="str">
        <v>No</v>
      </c>
      <c r="E348" t="str">
        <v>Unrestricted</v>
      </c>
      <c r="F348">
        <v>80</v>
      </c>
      <c r="G348" t="str">
        <v>S</v>
      </c>
      <c r="H348">
        <v>70</v>
      </c>
      <c r="I348">
        <v>1</v>
      </c>
      <c r="J348">
        <v>1</v>
      </c>
      <c r="K348" t="str">
        <v>Chlorotic immune response but unrestricted on leaf</v>
      </c>
    </row>
    <row r="349" spans="1:11" x14ac:dyDescent="0.35">
      <c r="A349">
        <v>612</v>
      </c>
      <c r="B349" t="str">
        <v>Yes</v>
      </c>
      <c r="C349" t="str">
        <v>Yes</v>
      </c>
      <c r="D349" t="str">
        <v>Yes</v>
      </c>
      <c r="E349" t="str">
        <v>Unrestricted</v>
      </c>
      <c r="F349">
        <v>50</v>
      </c>
      <c r="G349" t="str">
        <v>S</v>
      </c>
      <c r="H349">
        <v>43.75</v>
      </c>
      <c r="I349">
        <v>1</v>
      </c>
      <c r="J349">
        <v>1</v>
      </c>
      <c r="K3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Guo</dc:creator>
  <cp:lastModifiedBy>Karina Guo</cp:lastModifiedBy>
  <dcterms:created xsi:type="dcterms:W3CDTF">2025-03-16T22:19:28Z</dcterms:created>
  <dcterms:modified xsi:type="dcterms:W3CDTF">2025-03-31T02:28:52Z</dcterms:modified>
</cp:coreProperties>
</file>